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1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16A682365890AEA/Desktop/"/>
    </mc:Choice>
  </mc:AlternateContent>
  <xr:revisionPtr revIDLastSave="0" documentId="8_{19FBDF51-05F1-47D8-A9C3-B190A3DBB884}" xr6:coauthVersionLast="47" xr6:coauthVersionMax="47" xr10:uidLastSave="{00000000-0000-0000-0000-000000000000}"/>
  <bookViews>
    <workbookView xWindow="-110" yWindow="-110" windowWidth="19420" windowHeight="12220" tabRatio="944" xr2:uid="{C94370D9-2197-49FB-BF20-601391E6B830}"/>
  </bookViews>
  <sheets>
    <sheet name="Dashboard (Glenn)" sheetId="19" r:id="rId1"/>
    <sheet name="Dashboard" sheetId="15" r:id="rId2"/>
    <sheet name="Data (Visualisations)" sheetId="16" r:id="rId3"/>
    <sheet name="Data (Values and Parameters)" sheetId="22" r:id="rId4"/>
    <sheet name="Optimisation Model" sheetId="20" r:id="rId5"/>
    <sheet name="3_Monte_Carlo" sheetId="14" r:id="rId6"/>
    <sheet name="0_Model_Dashboard (old)" sheetId="3" r:id="rId7"/>
    <sheet name="1_Optimization_Engine (old)" sheetId="1" r:id="rId8"/>
    <sheet name="2_Crop_Parameters (old)" sheetId="2" r:id="rId9"/>
    <sheet name="Sensitivity Report 5" sheetId="10" r:id="rId10"/>
    <sheet name="Claude 0_Model_Dashboard" sheetId="11" r:id="rId11"/>
    <sheet name="Calude1_Optimization_Engine" sheetId="12" r:id="rId12"/>
    <sheet name="claude 2_Crop_Parameters" sheetId="13" r:id="rId13"/>
    <sheet name="monte_carlo(latest_weijie)" sheetId="21" r:id="rId14"/>
  </sheets>
  <externalReferences>
    <externalReference r:id="rId15"/>
  </externalReferences>
  <definedNames>
    <definedName name="_xlchart.v1.0" hidden="1">'0_Model_Dashboard (old)'!$Y$16:$Y$18</definedName>
    <definedName name="_xlchart.v1.1" hidden="1">'0_Model_Dashboard (old)'!$Z$15</definedName>
    <definedName name="_xlchart.v1.2" hidden="1">'0_Model_Dashboard (old)'!$Z$16:$Z$18</definedName>
    <definedName name="_xleta.MOD" hidden="1" xlm="1">#NAME?</definedName>
    <definedName name="_xleta.MODE" hidden="1" xlm="1">#NAME?</definedName>
    <definedName name="_xleta.T" hidden="1" xlm="1">#NAME?</definedName>
    <definedName name="CIQWBGuid" hidden="1">"93702ae5-c38a-4a22-b8ec-756e40007292"</definedName>
    <definedName name="CIQWBInfo" hidden="1">"{ ""CIQVersion"":""9.48.1616.5174""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"03/16/2026 09:56:38"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solver_adj" localSheetId="7" hidden="1">'1_Optimization_Engine (old)'!$B$2:$B$6</definedName>
    <definedName name="solver_adj" localSheetId="11" hidden="1">Calude1_Optimization_Engine!$B$3:$B$7</definedName>
    <definedName name="solver_cvg" localSheetId="7" hidden="1">0.0001</definedName>
    <definedName name="solver_cvg" localSheetId="11" hidden="1">0.0001</definedName>
    <definedName name="solver_drv" localSheetId="7" hidden="1">1</definedName>
    <definedName name="solver_drv" localSheetId="11" hidden="1">2</definedName>
    <definedName name="solver_eng" localSheetId="6" hidden="1">1</definedName>
    <definedName name="solver_eng" localSheetId="7" hidden="1">2</definedName>
    <definedName name="solver_eng" localSheetId="11" hidden="1">2</definedName>
    <definedName name="solver_est" localSheetId="7" hidden="1">1</definedName>
    <definedName name="solver_est" localSheetId="11" hidden="1">1</definedName>
    <definedName name="solver_itr" localSheetId="7" hidden="1">2147483647</definedName>
    <definedName name="solver_itr" localSheetId="11" hidden="1">2147483647</definedName>
    <definedName name="solver_lhs1" localSheetId="7" hidden="1">'1_Optimization_Engine (old)'!$C$11</definedName>
    <definedName name="solver_lhs1" localSheetId="11" hidden="1">Calude1_Optimization_Engine!$C$10</definedName>
    <definedName name="solver_lhs2" localSheetId="7" hidden="1">'1_Optimization_Engine (old)'!$C$13</definedName>
    <definedName name="solver_lhs2" localSheetId="11" hidden="1">Calude1_Optimization_Engine!$C$12</definedName>
    <definedName name="solver_lhs3" localSheetId="7" hidden="1">'1_Optimization_Engine (old)'!$C$9</definedName>
    <definedName name="solver_lhs3" localSheetId="11" hidden="1">Calude1_Optimization_Engine!$C$14</definedName>
    <definedName name="solver_lhs4" localSheetId="7" hidden="1">'1_Optimization_Engine (old)'!$D$2:$D$6</definedName>
    <definedName name="solver_lhs4" localSheetId="11" hidden="1">Calude1_Optimization_Engine!$D$3:$D$7</definedName>
    <definedName name="solver_lhs5" localSheetId="7" hidden="1">'1_Optimization_Engine (old)'!$D$2:$D$6</definedName>
    <definedName name="solver_lhs5" localSheetId="11" hidden="1">Calude1_Optimization_Engine!$D$3:$D$7</definedName>
    <definedName name="solver_mip" localSheetId="7" hidden="1">2147483647</definedName>
    <definedName name="solver_mip" localSheetId="11" hidden="1">2147483647</definedName>
    <definedName name="solver_mni" localSheetId="7" hidden="1">30</definedName>
    <definedName name="solver_mni" localSheetId="11" hidden="1">30</definedName>
    <definedName name="solver_mrt" localSheetId="7" hidden="1">0.075</definedName>
    <definedName name="solver_mrt" localSheetId="11" hidden="1">0.075</definedName>
    <definedName name="solver_msl" localSheetId="7" hidden="1">2</definedName>
    <definedName name="solver_msl" localSheetId="11" hidden="1">2</definedName>
    <definedName name="solver_neg" localSheetId="6" hidden="1">1</definedName>
    <definedName name="solver_neg" localSheetId="7" hidden="1">1</definedName>
    <definedName name="solver_neg" localSheetId="11" hidden="1">1</definedName>
    <definedName name="solver_nod" localSheetId="7" hidden="1">2147483647</definedName>
    <definedName name="solver_nod" localSheetId="11" hidden="1">2147483647</definedName>
    <definedName name="solver_num" localSheetId="6" hidden="1">0</definedName>
    <definedName name="solver_num" localSheetId="7" hidden="1">5</definedName>
    <definedName name="solver_num" localSheetId="11" hidden="1">5</definedName>
    <definedName name="solver_nwt" localSheetId="7" hidden="1">1</definedName>
    <definedName name="solver_nwt" localSheetId="11" hidden="1">1</definedName>
    <definedName name="solver_opt" localSheetId="7" hidden="1">'1_Optimization_Engine (old)'!$B$2</definedName>
    <definedName name="solver_opt" localSheetId="11" hidden="1">Calude1_Optimization_Engine!$C$12</definedName>
    <definedName name="solver_pre" localSheetId="7" hidden="1">0.000001</definedName>
    <definedName name="solver_pre" localSheetId="11" hidden="1">0.000001</definedName>
    <definedName name="solver_rbv" localSheetId="7" hidden="1">1</definedName>
    <definedName name="solver_rbv" localSheetId="11" hidden="1">2</definedName>
    <definedName name="solver_rel1" localSheetId="7" hidden="1">1</definedName>
    <definedName name="solver_rel1" localSheetId="11" hidden="1">1</definedName>
    <definedName name="solver_rel2" localSheetId="7" hidden="1">3</definedName>
    <definedName name="solver_rel2" localSheetId="11" hidden="1">1</definedName>
    <definedName name="solver_rel3" localSheetId="7" hidden="1">1</definedName>
    <definedName name="solver_rel3" localSheetId="11" hidden="1">3</definedName>
    <definedName name="solver_rel4" localSheetId="7" hidden="1">1</definedName>
    <definedName name="solver_rel4" localSheetId="11" hidden="1">1</definedName>
    <definedName name="solver_rel5" localSheetId="7" hidden="1">3</definedName>
    <definedName name="solver_rel5" localSheetId="11" hidden="1">3</definedName>
    <definedName name="solver_rhs1" localSheetId="7" hidden="1">'1_Optimization_Engine (old)'!$C$2 + '1_Optimization_Engine (old)'!$C$3</definedName>
    <definedName name="solver_rhs1" localSheetId="11" hidden="1">Calude1_Optimization_Engine!$C$25</definedName>
    <definedName name="solver_rhs2" localSheetId="7" hidden="1">0</definedName>
    <definedName name="solver_rhs2" localSheetId="11" hidden="1">Calude1_Optimization_Engine!$D$3+Calude1_Optimization_Engine!$D$4</definedName>
    <definedName name="solver_rhs3" localSheetId="7" hidden="1">'1_Optimization_Engine (old)'!$F$20</definedName>
    <definedName name="solver_rhs3" localSheetId="11" hidden="1">0</definedName>
    <definedName name="solver_rhs4" localSheetId="7" hidden="1">'1_Optimization_Engine (old)'!$C$20:$C$24</definedName>
    <definedName name="solver_rhs4" localSheetId="11" hidden="1">Calude1_Optimization_Engine!$C$19:$C$23</definedName>
    <definedName name="solver_rhs5" localSheetId="7" hidden="1">'1_Optimization_Engine (old)'!$B$20:$B$24</definedName>
    <definedName name="solver_rhs5" localSheetId="11" hidden="1">Calude1_Optimization_Engine!$B$19:$B$23</definedName>
    <definedName name="solver_rlx" localSheetId="7" hidden="1">2</definedName>
    <definedName name="solver_rlx" localSheetId="11" hidden="1">2</definedName>
    <definedName name="solver_rsd" localSheetId="7" hidden="1">0</definedName>
    <definedName name="solver_rsd" localSheetId="11" hidden="1">0</definedName>
    <definedName name="solver_scl" localSheetId="7" hidden="1">1</definedName>
    <definedName name="solver_scl" localSheetId="11" hidden="1">2</definedName>
    <definedName name="solver_sho" localSheetId="7" hidden="1">2</definedName>
    <definedName name="solver_sho" localSheetId="11" hidden="1">2</definedName>
    <definedName name="solver_ssz" localSheetId="7" hidden="1">100</definedName>
    <definedName name="solver_ssz" localSheetId="11" hidden="1">100</definedName>
    <definedName name="solver_tim" localSheetId="7" hidden="1">2147483647</definedName>
    <definedName name="solver_tim" localSheetId="11" hidden="1">2147483647</definedName>
    <definedName name="solver_tol" localSheetId="7" hidden="1">0.01</definedName>
    <definedName name="solver_tol" localSheetId="11" hidden="1">0.01</definedName>
    <definedName name="solver_typ" localSheetId="6" hidden="1">1</definedName>
    <definedName name="solver_typ" localSheetId="7" hidden="1">1</definedName>
    <definedName name="solver_typ" localSheetId="11" hidden="1">1</definedName>
    <definedName name="solver_val" localSheetId="6" hidden="1">0</definedName>
    <definedName name="solver_val" localSheetId="7" hidden="1">0</definedName>
    <definedName name="solver_val" localSheetId="11" hidden="1">0</definedName>
    <definedName name="solver_ver" localSheetId="6" hidden="1">3</definedName>
    <definedName name="solver_ver" localSheetId="7" hidden="1">3</definedName>
    <definedName name="solver_ver" localSheetId="11" hidden="1">3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3" l="1"/>
  <c r="L7" i="13"/>
  <c r="P7" i="13"/>
  <c r="K8" i="13"/>
  <c r="L8" i="13"/>
  <c r="P8" i="13"/>
  <c r="K9" i="13"/>
  <c r="L9" i="13" s="1"/>
  <c r="P9" i="13"/>
  <c r="K10" i="13"/>
  <c r="L10" i="13"/>
  <c r="P10" i="13"/>
  <c r="K11" i="13"/>
  <c r="L11" i="13"/>
  <c r="K20" i="13" s="1"/>
  <c r="P11" i="13"/>
  <c r="G15" i="13"/>
  <c r="H15" i="13"/>
  <c r="I15" i="13"/>
  <c r="J15" i="13"/>
  <c r="K15" i="13"/>
  <c r="G16" i="13"/>
  <c r="H16" i="13"/>
  <c r="I16" i="13"/>
  <c r="J16" i="13"/>
  <c r="K16" i="13"/>
  <c r="G17" i="13"/>
  <c r="H17" i="13"/>
  <c r="I17" i="13"/>
  <c r="J17" i="13"/>
  <c r="K17" i="13"/>
  <c r="G18" i="13"/>
  <c r="H18" i="13"/>
  <c r="I18" i="13"/>
  <c r="J18" i="13"/>
  <c r="K18" i="13"/>
  <c r="G19" i="13"/>
  <c r="H19" i="13"/>
  <c r="I19" i="13"/>
  <c r="J19" i="13"/>
  <c r="K19" i="13"/>
  <c r="G20" i="13"/>
  <c r="H20" i="13"/>
  <c r="I20" i="13"/>
  <c r="J20" i="13"/>
  <c r="G21" i="13"/>
  <c r="H21" i="13"/>
  <c r="I21" i="13"/>
  <c r="J21" i="13"/>
  <c r="K21" i="13"/>
  <c r="G22" i="13"/>
  <c r="H22" i="13"/>
  <c r="I22" i="13"/>
  <c r="J22" i="13"/>
  <c r="K22" i="13"/>
  <c r="G23" i="13"/>
  <c r="H23" i="13"/>
  <c r="I23" i="13"/>
  <c r="J23" i="13"/>
  <c r="K23" i="13"/>
  <c r="G24" i="13"/>
  <c r="H24" i="13"/>
  <c r="I24" i="13"/>
  <c r="J24" i="13"/>
  <c r="K24" i="13"/>
  <c r="C3" i="12"/>
  <c r="C4" i="12"/>
  <c r="D4" i="12"/>
  <c r="E4" i="12"/>
  <c r="F4" i="12"/>
  <c r="G4" i="12"/>
  <c r="C5" i="12"/>
  <c r="D5" i="12"/>
  <c r="D21" i="12" s="1"/>
  <c r="E5" i="12"/>
  <c r="F5" i="12"/>
  <c r="G5" i="12"/>
  <c r="C6" i="12"/>
  <c r="D6" i="12"/>
  <c r="D22" i="12" s="1"/>
  <c r="E6" i="12"/>
  <c r="F6" i="12"/>
  <c r="G6" i="12"/>
  <c r="C7" i="12"/>
  <c r="F7" i="12" s="1"/>
  <c r="D7" i="12"/>
  <c r="D23" i="12" s="1"/>
  <c r="E7" i="12"/>
  <c r="G7" i="12" s="1"/>
  <c r="C10" i="12"/>
  <c r="B19" i="12"/>
  <c r="C19" i="12"/>
  <c r="B20" i="12"/>
  <c r="C20" i="12"/>
  <c r="D20" i="12"/>
  <c r="E20" i="12"/>
  <c r="F20" i="12"/>
  <c r="B21" i="12"/>
  <c r="C21" i="12"/>
  <c r="E21" i="12"/>
  <c r="F21" i="12"/>
  <c r="B22" i="12"/>
  <c r="C22" i="12"/>
  <c r="B23" i="12"/>
  <c r="C23" i="12"/>
  <c r="C25" i="12"/>
  <c r="AE2" i="11"/>
  <c r="AE3" i="11"/>
  <c r="AE4" i="11"/>
  <c r="I8" i="11"/>
  <c r="I9" i="11"/>
  <c r="Z11" i="11"/>
  <c r="Z12" i="11"/>
  <c r="Z13" i="11"/>
  <c r="H15" i="11"/>
  <c r="B21" i="11"/>
  <c r="I25" i="11"/>
  <c r="J25" i="11"/>
  <c r="K25" i="11"/>
  <c r="L25" i="11"/>
  <c r="I26" i="11"/>
  <c r="J26" i="11"/>
  <c r="K26" i="11"/>
  <c r="L26" i="11"/>
  <c r="I27" i="11"/>
  <c r="J27" i="11"/>
  <c r="J30" i="11" s="1"/>
  <c r="K27" i="11"/>
  <c r="L27" i="11"/>
  <c r="I28" i="11"/>
  <c r="J28" i="11"/>
  <c r="K28" i="11"/>
  <c r="L28" i="11"/>
  <c r="I29" i="11"/>
  <c r="J29" i="11"/>
  <c r="K29" i="11"/>
  <c r="L29" i="11"/>
  <c r="I30" i="11"/>
  <c r="L30" i="11"/>
  <c r="G7" i="2"/>
  <c r="H7" i="2"/>
  <c r="G8" i="2"/>
  <c r="H8" i="2"/>
  <c r="L8" i="2"/>
  <c r="G9" i="2"/>
  <c r="H9" i="2"/>
  <c r="E4" i="1" s="1"/>
  <c r="L9" i="2"/>
  <c r="G4" i="1" s="1"/>
  <c r="G10" i="2"/>
  <c r="H10" i="2"/>
  <c r="E5" i="1" s="1"/>
  <c r="L10" i="2"/>
  <c r="G5" i="1" s="1"/>
  <c r="G11" i="2"/>
  <c r="H11" i="2"/>
  <c r="C18" i="2"/>
  <c r="C19" i="2" s="1"/>
  <c r="D18" i="2"/>
  <c r="D19" i="2" s="1"/>
  <c r="E18" i="2"/>
  <c r="E19" i="2" s="1"/>
  <c r="F18" i="2"/>
  <c r="F19" i="2" s="1"/>
  <c r="G18" i="2"/>
  <c r="G19" i="2" s="1"/>
  <c r="D23" i="2"/>
  <c r="E23" i="2"/>
  <c r="G23" i="2"/>
  <c r="C26" i="2"/>
  <c r="D26" i="2"/>
  <c r="E26" i="2"/>
  <c r="F26" i="2"/>
  <c r="G26" i="2"/>
  <c r="C2" i="1"/>
  <c r="D2" i="1"/>
  <c r="E2" i="1"/>
  <c r="F2" i="1"/>
  <c r="C3" i="1"/>
  <c r="D3" i="1"/>
  <c r="E3" i="1" s="1"/>
  <c r="F3" i="1"/>
  <c r="C4" i="1"/>
  <c r="D4" i="1"/>
  <c r="F4" i="1"/>
  <c r="C5" i="1"/>
  <c r="D5" i="1"/>
  <c r="F5" i="1"/>
  <c r="C6" i="1"/>
  <c r="D6" i="1"/>
  <c r="E6" i="1" s="1"/>
  <c r="F6" i="1"/>
  <c r="C9" i="1"/>
  <c r="B20" i="1"/>
  <c r="C20" i="1"/>
  <c r="G20" i="1"/>
  <c r="B21" i="1"/>
  <c r="C21" i="1"/>
  <c r="B22" i="1"/>
  <c r="C22" i="1"/>
  <c r="B23" i="1"/>
  <c r="C23" i="1"/>
  <c r="B24" i="1"/>
  <c r="C24" i="1"/>
  <c r="A28" i="1"/>
  <c r="H15" i="3" s="1"/>
  <c r="I8" i="3"/>
  <c r="I9" i="3"/>
  <c r="B5" i="14"/>
  <c r="E5" i="14" s="1"/>
  <c r="D5" i="14"/>
  <c r="B6" i="14"/>
  <c r="D6" i="14"/>
  <c r="E6" i="14"/>
  <c r="B7" i="14"/>
  <c r="D7" i="14"/>
  <c r="E7" i="14"/>
  <c r="B8" i="14"/>
  <c r="E8" i="14" s="1"/>
  <c r="D8" i="14"/>
  <c r="E209" i="14" s="1"/>
  <c r="B9" i="14"/>
  <c r="D9" i="14"/>
  <c r="E9" i="14"/>
  <c r="D16" i="14"/>
  <c r="E16" i="14"/>
  <c r="D17" i="14"/>
  <c r="E17" i="14"/>
  <c r="D18" i="14"/>
  <c r="E18" i="14"/>
  <c r="D19" i="14"/>
  <c r="E19" i="14"/>
  <c r="D20" i="14"/>
  <c r="E20" i="14"/>
  <c r="E39" i="14"/>
  <c r="F39" i="14"/>
  <c r="C40" i="14"/>
  <c r="F40" i="14"/>
  <c r="F44" i="14"/>
  <c r="E45" i="14"/>
  <c r="E46" i="14"/>
  <c r="F46" i="14"/>
  <c r="F50" i="14"/>
  <c r="E52" i="14"/>
  <c r="D54" i="14"/>
  <c r="F54" i="14"/>
  <c r="B56" i="14"/>
  <c r="D56" i="14"/>
  <c r="F56" i="14"/>
  <c r="D57" i="14"/>
  <c r="E59" i="14"/>
  <c r="B62" i="14"/>
  <c r="C62" i="14"/>
  <c r="D62" i="14"/>
  <c r="F62" i="14"/>
  <c r="B63" i="14"/>
  <c r="C63" i="14"/>
  <c r="D63" i="14"/>
  <c r="F64" i="14"/>
  <c r="F65" i="14"/>
  <c r="F66" i="14"/>
  <c r="B67" i="14"/>
  <c r="C67" i="14"/>
  <c r="F67" i="14"/>
  <c r="E68" i="14"/>
  <c r="F68" i="14"/>
  <c r="F69" i="14"/>
  <c r="C71" i="14"/>
  <c r="D71" i="14"/>
  <c r="E71" i="14"/>
  <c r="F71" i="14"/>
  <c r="G71" i="14"/>
  <c r="C72" i="14"/>
  <c r="F72" i="14"/>
  <c r="B73" i="14"/>
  <c r="F73" i="14"/>
  <c r="F74" i="14"/>
  <c r="F76" i="14"/>
  <c r="F77" i="14"/>
  <c r="D78" i="14"/>
  <c r="E78" i="14"/>
  <c r="F78" i="14"/>
  <c r="G78" i="14"/>
  <c r="B81" i="14"/>
  <c r="C81" i="14"/>
  <c r="F82" i="14"/>
  <c r="B84" i="14"/>
  <c r="C84" i="14"/>
  <c r="B85" i="14"/>
  <c r="F86" i="14"/>
  <c r="F88" i="14"/>
  <c r="C90" i="14"/>
  <c r="E90" i="14"/>
  <c r="F90" i="14"/>
  <c r="B92" i="14"/>
  <c r="F92" i="14"/>
  <c r="G92" i="14"/>
  <c r="B93" i="14"/>
  <c r="F93" i="14"/>
  <c r="F94" i="14"/>
  <c r="B98" i="14"/>
  <c r="C98" i="14"/>
  <c r="D98" i="14"/>
  <c r="E98" i="14"/>
  <c r="F98" i="14"/>
  <c r="F99" i="14"/>
  <c r="E100" i="14"/>
  <c r="F100" i="14"/>
  <c r="B102" i="14"/>
  <c r="F103" i="14"/>
  <c r="F104" i="14"/>
  <c r="C105" i="14"/>
  <c r="F105" i="14"/>
  <c r="F106" i="14"/>
  <c r="B107" i="14"/>
  <c r="D107" i="14"/>
  <c r="F109" i="14"/>
  <c r="B110" i="14"/>
  <c r="C110" i="14"/>
  <c r="D110" i="14"/>
  <c r="F110" i="14"/>
  <c r="F111" i="14"/>
  <c r="F112" i="14"/>
  <c r="B114" i="14"/>
  <c r="F114" i="14"/>
  <c r="G114" i="14"/>
  <c r="F115" i="14"/>
  <c r="B116" i="14"/>
  <c r="F116" i="14"/>
  <c r="F117" i="14"/>
  <c r="G117" i="14"/>
  <c r="F118" i="14"/>
  <c r="B120" i="14"/>
  <c r="F120" i="14"/>
  <c r="C121" i="14"/>
  <c r="F121" i="14"/>
  <c r="C123" i="14"/>
  <c r="D123" i="14"/>
  <c r="F123" i="14"/>
  <c r="B124" i="14"/>
  <c r="C124" i="14"/>
  <c r="D124" i="14"/>
  <c r="F125" i="14"/>
  <c r="F126" i="14"/>
  <c r="C128" i="14"/>
  <c r="F128" i="14"/>
  <c r="B130" i="14"/>
  <c r="C130" i="14"/>
  <c r="E131" i="14"/>
  <c r="F131" i="14"/>
  <c r="F133" i="14"/>
  <c r="B134" i="14"/>
  <c r="F135" i="14"/>
  <c r="E137" i="14"/>
  <c r="F137" i="14"/>
  <c r="B138" i="14"/>
  <c r="C138" i="14"/>
  <c r="D138" i="14"/>
  <c r="D139" i="14"/>
  <c r="B141" i="14"/>
  <c r="F142" i="14"/>
  <c r="F143" i="14"/>
  <c r="B145" i="14"/>
  <c r="C145" i="14"/>
  <c r="D145" i="14"/>
  <c r="E145" i="14"/>
  <c r="F145" i="14"/>
  <c r="B147" i="14"/>
  <c r="F147" i="14"/>
  <c r="F148" i="14"/>
  <c r="F149" i="14"/>
  <c r="C151" i="14"/>
  <c r="D152" i="14"/>
  <c r="F152" i="14"/>
  <c r="F153" i="14"/>
  <c r="F154" i="14"/>
  <c r="C155" i="14"/>
  <c r="F155" i="14"/>
  <c r="B157" i="14"/>
  <c r="C157" i="14"/>
  <c r="F157" i="14"/>
  <c r="F158" i="14"/>
  <c r="F159" i="14"/>
  <c r="C160" i="14"/>
  <c r="E160" i="14"/>
  <c r="F160" i="14"/>
  <c r="F161" i="14"/>
  <c r="B162" i="14"/>
  <c r="F162" i="14"/>
  <c r="B163" i="14"/>
  <c r="D164" i="14"/>
  <c r="F164" i="14"/>
  <c r="C165" i="14"/>
  <c r="F165" i="14"/>
  <c r="F166" i="14"/>
  <c r="F167" i="14"/>
  <c r="B168" i="14"/>
  <c r="F169" i="14"/>
  <c r="F170" i="14"/>
  <c r="B171" i="14"/>
  <c r="C171" i="14"/>
  <c r="F171" i="14"/>
  <c r="F172" i="14"/>
  <c r="G172" i="14"/>
  <c r="B173" i="14"/>
  <c r="C173" i="14"/>
  <c r="F174" i="14"/>
  <c r="F175" i="14"/>
  <c r="B176" i="14"/>
  <c r="C176" i="14"/>
  <c r="F176" i="14"/>
  <c r="C177" i="14"/>
  <c r="D177" i="14"/>
  <c r="E177" i="14"/>
  <c r="F177" i="14"/>
  <c r="C178" i="14"/>
  <c r="D178" i="14"/>
  <c r="D179" i="14"/>
  <c r="E179" i="14"/>
  <c r="F179" i="14"/>
  <c r="F180" i="14"/>
  <c r="G180" i="14"/>
  <c r="F181" i="14"/>
  <c r="B182" i="14"/>
  <c r="C182" i="14"/>
  <c r="F182" i="14"/>
  <c r="B184" i="14"/>
  <c r="F184" i="14"/>
  <c r="D185" i="14"/>
  <c r="E185" i="14"/>
  <c r="B186" i="14"/>
  <c r="D186" i="14"/>
  <c r="F186" i="14"/>
  <c r="F187" i="14"/>
  <c r="F188" i="14"/>
  <c r="B189" i="14"/>
  <c r="C189" i="14"/>
  <c r="D189" i="14"/>
  <c r="E189" i="14"/>
  <c r="F189" i="14"/>
  <c r="F190" i="14"/>
  <c r="F191" i="14"/>
  <c r="F192" i="14"/>
  <c r="D193" i="14"/>
  <c r="E193" i="14"/>
  <c r="F193" i="14"/>
  <c r="F194" i="14"/>
  <c r="C195" i="14"/>
  <c r="F195" i="14"/>
  <c r="B197" i="14"/>
  <c r="F197" i="14"/>
  <c r="F198" i="14"/>
  <c r="G198" i="14"/>
  <c r="B199" i="14"/>
  <c r="C199" i="14"/>
  <c r="D199" i="14"/>
  <c r="F199" i="14"/>
  <c r="F200" i="14"/>
  <c r="B201" i="14"/>
  <c r="C201" i="14"/>
  <c r="D201" i="14"/>
  <c r="E201" i="14"/>
  <c r="F201" i="14"/>
  <c r="F202" i="14"/>
  <c r="B203" i="14"/>
  <c r="C203" i="14"/>
  <c r="D203" i="14"/>
  <c r="F203" i="14"/>
  <c r="F204" i="14"/>
  <c r="G204" i="14"/>
  <c r="F206" i="14"/>
  <c r="C207" i="14"/>
  <c r="E208" i="14"/>
  <c r="F208" i="14"/>
  <c r="F209" i="14"/>
  <c r="F210" i="14"/>
  <c r="F211" i="14"/>
  <c r="F212" i="14"/>
  <c r="E213" i="14"/>
  <c r="F213" i="14"/>
  <c r="C214" i="14"/>
  <c r="D214" i="14"/>
  <c r="E214" i="14"/>
  <c r="F215" i="14"/>
  <c r="F216" i="14"/>
  <c r="B217" i="14"/>
  <c r="C217" i="14"/>
  <c r="F217" i="14"/>
  <c r="C218" i="14"/>
  <c r="D218" i="14"/>
  <c r="E218" i="14"/>
  <c r="F218" i="14"/>
  <c r="G218" i="14"/>
  <c r="C219" i="14"/>
  <c r="D219" i="14"/>
  <c r="E219" i="14"/>
  <c r="F219" i="14"/>
  <c r="F220" i="14"/>
  <c r="B221" i="14"/>
  <c r="C221" i="14"/>
  <c r="F221" i="14"/>
  <c r="F222" i="14"/>
  <c r="F223" i="14"/>
  <c r="B224" i="14"/>
  <c r="C224" i="14"/>
  <c r="F224" i="14"/>
  <c r="D225" i="14"/>
  <c r="E225" i="14"/>
  <c r="F225" i="14"/>
  <c r="G225" i="14"/>
  <c r="B226" i="14"/>
  <c r="F226" i="14"/>
  <c r="C227" i="14"/>
  <c r="B228" i="14"/>
  <c r="C228" i="14"/>
  <c r="D228" i="14"/>
  <c r="E228" i="14"/>
  <c r="F228" i="14"/>
  <c r="C229" i="14"/>
  <c r="D229" i="14"/>
  <c r="E229" i="14"/>
  <c r="F229" i="14"/>
  <c r="B230" i="14"/>
  <c r="C230" i="14"/>
  <c r="D230" i="14"/>
  <c r="F230" i="14"/>
  <c r="B231" i="14"/>
  <c r="F231" i="14"/>
  <c r="C232" i="14"/>
  <c r="D232" i="14"/>
  <c r="E232" i="14"/>
  <c r="F232" i="14"/>
  <c r="F233" i="14"/>
  <c r="B234" i="14"/>
  <c r="D234" i="14"/>
  <c r="E234" i="14"/>
  <c r="F234" i="14"/>
  <c r="F235" i="14"/>
  <c r="F236" i="14"/>
  <c r="B238" i="14"/>
  <c r="C238" i="14"/>
  <c r="D238" i="14"/>
  <c r="F238" i="14"/>
  <c r="F239" i="14"/>
  <c r="B240" i="14"/>
  <c r="C240" i="14"/>
  <c r="E240" i="14"/>
  <c r="F240" i="14"/>
  <c r="C241" i="14"/>
  <c r="D241" i="14"/>
  <c r="F241" i="14"/>
  <c r="F242" i="14"/>
  <c r="B243" i="14"/>
  <c r="C243" i="14"/>
  <c r="D243" i="14"/>
  <c r="F243" i="14"/>
  <c r="B244" i="14"/>
  <c r="F244" i="14"/>
  <c r="D245" i="14"/>
  <c r="F245" i="14"/>
  <c r="F246" i="14"/>
  <c r="C247" i="14"/>
  <c r="D247" i="14"/>
  <c r="E247" i="14"/>
  <c r="F247" i="14"/>
  <c r="F248" i="14"/>
  <c r="G248" i="14"/>
  <c r="F250" i="14"/>
  <c r="G250" i="14"/>
  <c r="C251" i="14"/>
  <c r="D251" i="14"/>
  <c r="F251" i="14"/>
  <c r="C252" i="14"/>
  <c r="F252" i="14"/>
  <c r="B253" i="14"/>
  <c r="F253" i="14"/>
  <c r="C254" i="14"/>
  <c r="D254" i="14"/>
  <c r="F254" i="14"/>
  <c r="B255" i="14"/>
  <c r="F255" i="14"/>
  <c r="B256" i="14"/>
  <c r="F256" i="14"/>
  <c r="F257" i="14"/>
  <c r="C258" i="14"/>
  <c r="D258" i="14"/>
  <c r="E258" i="14"/>
  <c r="F258" i="14"/>
  <c r="F259" i="14"/>
  <c r="B260" i="14"/>
  <c r="C260" i="14"/>
  <c r="D260" i="14"/>
  <c r="E260" i="14"/>
  <c r="F260" i="14"/>
  <c r="F261" i="14"/>
  <c r="F262" i="14"/>
  <c r="B263" i="14"/>
  <c r="D263" i="14"/>
  <c r="F263" i="14"/>
  <c r="C264" i="14"/>
  <c r="F264" i="14"/>
  <c r="G264" i="14"/>
  <c r="C265" i="14"/>
  <c r="F265" i="14"/>
  <c r="B266" i="14"/>
  <c r="C266" i="14"/>
  <c r="D266" i="14"/>
  <c r="F266" i="14"/>
  <c r="F267" i="14"/>
  <c r="F268" i="14"/>
  <c r="D269" i="14"/>
  <c r="F269" i="14"/>
  <c r="B270" i="14"/>
  <c r="C270" i="14"/>
  <c r="D270" i="14"/>
  <c r="E270" i="14"/>
  <c r="F270" i="14"/>
  <c r="B272" i="14"/>
  <c r="F272" i="14"/>
  <c r="C273" i="14"/>
  <c r="F273" i="14"/>
  <c r="B274" i="14"/>
  <c r="F274" i="14"/>
  <c r="B275" i="14"/>
  <c r="C275" i="14"/>
  <c r="F275" i="14"/>
  <c r="B276" i="14"/>
  <c r="C276" i="14"/>
  <c r="E276" i="14"/>
  <c r="F276" i="14"/>
  <c r="F277" i="14"/>
  <c r="F278" i="14"/>
  <c r="F279" i="14"/>
  <c r="F280" i="14"/>
  <c r="F281" i="14"/>
  <c r="B282" i="14"/>
  <c r="C282" i="14"/>
  <c r="D282" i="14"/>
  <c r="F282" i="14"/>
  <c r="C283" i="14"/>
  <c r="E283" i="14"/>
  <c r="F283" i="14"/>
  <c r="G283" i="14"/>
  <c r="E284" i="14"/>
  <c r="F284" i="14"/>
  <c r="C285" i="14"/>
  <c r="F285" i="14"/>
  <c r="B286" i="14"/>
  <c r="C286" i="14"/>
  <c r="F286" i="14"/>
  <c r="E287" i="14"/>
  <c r="F287" i="14"/>
  <c r="B288" i="14"/>
  <c r="C288" i="14"/>
  <c r="F288" i="14"/>
  <c r="B289" i="14"/>
  <c r="F289" i="14"/>
  <c r="B290" i="14"/>
  <c r="F290" i="14"/>
  <c r="B291" i="14"/>
  <c r="C291" i="14"/>
  <c r="F291" i="14"/>
  <c r="D292" i="14"/>
  <c r="E292" i="14"/>
  <c r="F292" i="14"/>
  <c r="B293" i="14"/>
  <c r="C293" i="14"/>
  <c r="F293" i="14"/>
  <c r="F294" i="14"/>
  <c r="F295" i="14"/>
  <c r="B296" i="14"/>
  <c r="C296" i="14"/>
  <c r="F296" i="14"/>
  <c r="C297" i="14"/>
  <c r="F297" i="14"/>
  <c r="F298" i="14"/>
  <c r="G298" i="14"/>
  <c r="F299" i="14"/>
  <c r="F300" i="14"/>
  <c r="B301" i="14"/>
  <c r="C301" i="14"/>
  <c r="E301" i="14"/>
  <c r="F301" i="14"/>
  <c r="D302" i="14"/>
  <c r="E302" i="14"/>
  <c r="F302" i="14"/>
  <c r="B303" i="14"/>
  <c r="F303" i="14"/>
  <c r="F304" i="14"/>
  <c r="B305" i="14"/>
  <c r="F305" i="14"/>
  <c r="F306" i="14"/>
  <c r="F307" i="14"/>
  <c r="C308" i="14"/>
  <c r="F308" i="14"/>
  <c r="B309" i="14"/>
  <c r="F309" i="14"/>
  <c r="B310" i="14"/>
  <c r="C310" i="14"/>
  <c r="F310" i="14"/>
  <c r="E311" i="14"/>
  <c r="F311" i="14"/>
  <c r="C312" i="14"/>
  <c r="F312" i="14"/>
  <c r="F313" i="14"/>
  <c r="C314" i="14"/>
  <c r="D314" i="14"/>
  <c r="E314" i="14"/>
  <c r="F314" i="14"/>
  <c r="C315" i="14"/>
  <c r="D315" i="14"/>
  <c r="E315" i="14"/>
  <c r="F315" i="14"/>
  <c r="G315" i="14"/>
  <c r="F316" i="14"/>
  <c r="B317" i="14"/>
  <c r="F317" i="14"/>
  <c r="B318" i="14"/>
  <c r="C318" i="14"/>
  <c r="D318" i="14"/>
  <c r="F318" i="14"/>
  <c r="C319" i="14"/>
  <c r="D319" i="14"/>
  <c r="E319" i="14"/>
  <c r="F319" i="14"/>
  <c r="B320" i="14"/>
  <c r="C320" i="14"/>
  <c r="F320" i="14"/>
  <c r="B321" i="14"/>
  <c r="F321" i="14"/>
  <c r="D322" i="14"/>
  <c r="F322" i="14"/>
  <c r="C323" i="14"/>
  <c r="F323" i="14"/>
  <c r="E324" i="14"/>
  <c r="F324" i="14"/>
  <c r="C325" i="14"/>
  <c r="D325" i="14"/>
  <c r="E325" i="14"/>
  <c r="F325" i="14"/>
  <c r="C326" i="14"/>
  <c r="F326" i="14"/>
  <c r="C327" i="14"/>
  <c r="D327" i="14"/>
  <c r="F327" i="14"/>
  <c r="B328" i="14"/>
  <c r="C328" i="14"/>
  <c r="D328" i="14"/>
  <c r="F328" i="14"/>
  <c r="F329" i="14"/>
  <c r="B330" i="14"/>
  <c r="C330" i="14"/>
  <c r="D330" i="14"/>
  <c r="E330" i="14"/>
  <c r="F330" i="14"/>
  <c r="C331" i="14"/>
  <c r="F331" i="14"/>
  <c r="F332" i="14"/>
  <c r="G332" i="14"/>
  <c r="F333" i="14"/>
  <c r="B334" i="14"/>
  <c r="D334" i="14"/>
  <c r="F334" i="14"/>
  <c r="F335" i="14"/>
  <c r="B336" i="14"/>
  <c r="C336" i="14"/>
  <c r="F336" i="14"/>
  <c r="F337" i="14"/>
  <c r="D338" i="14"/>
  <c r="F338" i="14"/>
  <c r="E339" i="14"/>
  <c r="F339" i="14"/>
  <c r="G339" i="14"/>
  <c r="D340" i="14"/>
  <c r="E340" i="14"/>
  <c r="F340" i="14"/>
  <c r="G340" i="14"/>
  <c r="F341" i="14"/>
  <c r="F342" i="14"/>
  <c r="B343" i="14"/>
  <c r="C343" i="14"/>
  <c r="E343" i="14"/>
  <c r="F343" i="14"/>
  <c r="D344" i="14"/>
  <c r="F344" i="14"/>
  <c r="B345" i="14"/>
  <c r="F345" i="14"/>
  <c r="F346" i="14"/>
  <c r="B347" i="14"/>
  <c r="C347" i="14"/>
  <c r="D347" i="14"/>
  <c r="E347" i="14"/>
  <c r="F347" i="14"/>
  <c r="B348" i="14"/>
  <c r="C348" i="14"/>
  <c r="F348" i="14"/>
  <c r="F349" i="14"/>
  <c r="E350" i="14"/>
  <c r="F350" i="14"/>
  <c r="G350" i="14"/>
  <c r="F351" i="14"/>
  <c r="C352" i="14"/>
  <c r="D352" i="14"/>
  <c r="E352" i="14"/>
  <c r="F352" i="14"/>
  <c r="B353" i="14"/>
  <c r="C353" i="14"/>
  <c r="F353" i="14"/>
  <c r="B354" i="14"/>
  <c r="C354" i="14"/>
  <c r="F354" i="14"/>
  <c r="D355" i="14"/>
  <c r="E355" i="14"/>
  <c r="F355" i="14"/>
  <c r="B356" i="14"/>
  <c r="F356" i="14"/>
  <c r="C357" i="14"/>
  <c r="F357" i="14"/>
  <c r="F358" i="14"/>
  <c r="B359" i="14"/>
  <c r="C359" i="14"/>
  <c r="D359" i="14"/>
  <c r="F359" i="14"/>
  <c r="B360" i="14"/>
  <c r="F360" i="14"/>
  <c r="B361" i="14"/>
  <c r="C361" i="14"/>
  <c r="F361" i="14"/>
  <c r="G361" i="14"/>
  <c r="B362" i="14"/>
  <c r="E362" i="14"/>
  <c r="F362" i="14"/>
  <c r="B363" i="14"/>
  <c r="E363" i="14"/>
  <c r="F363" i="14"/>
  <c r="F364" i="14"/>
  <c r="C365" i="14"/>
  <c r="F365" i="14"/>
  <c r="D366" i="14"/>
  <c r="F366" i="14"/>
  <c r="E367" i="14"/>
  <c r="F367" i="14"/>
  <c r="E368" i="14"/>
  <c r="F368" i="14"/>
  <c r="B369" i="14"/>
  <c r="C369" i="14"/>
  <c r="D369" i="14"/>
  <c r="E369" i="14"/>
  <c r="F369" i="14"/>
  <c r="B370" i="14"/>
  <c r="F370" i="14"/>
  <c r="B371" i="14"/>
  <c r="C371" i="14"/>
  <c r="D371" i="14"/>
  <c r="E371" i="14"/>
  <c r="F371" i="14"/>
  <c r="B372" i="14"/>
  <c r="F372" i="14"/>
  <c r="B373" i="14"/>
  <c r="C373" i="14"/>
  <c r="D373" i="14"/>
  <c r="E373" i="14"/>
  <c r="F373" i="14"/>
  <c r="B374" i="14"/>
  <c r="C374" i="14"/>
  <c r="F374" i="14"/>
  <c r="C375" i="14"/>
  <c r="F375" i="14"/>
  <c r="E376" i="14"/>
  <c r="F376" i="14"/>
  <c r="B377" i="14"/>
  <c r="F377" i="14"/>
  <c r="F378" i="14"/>
  <c r="C379" i="14"/>
  <c r="D379" i="14"/>
  <c r="E379" i="14"/>
  <c r="F379" i="14"/>
  <c r="B380" i="14"/>
  <c r="C380" i="14"/>
  <c r="F380" i="14"/>
  <c r="B381" i="14"/>
  <c r="F381" i="14"/>
  <c r="C382" i="14"/>
  <c r="D382" i="14"/>
  <c r="F382" i="14"/>
  <c r="C383" i="14"/>
  <c r="F383" i="14"/>
  <c r="F384" i="14"/>
  <c r="B385" i="14"/>
  <c r="C385" i="14"/>
  <c r="D385" i="14"/>
  <c r="E385" i="14"/>
  <c r="F385" i="14"/>
  <c r="B386" i="14"/>
  <c r="C386" i="14"/>
  <c r="D386" i="14"/>
  <c r="E386" i="14"/>
  <c r="F386" i="14"/>
  <c r="B387" i="14"/>
  <c r="C387" i="14"/>
  <c r="D387" i="14"/>
  <c r="F387" i="14"/>
  <c r="B388" i="14"/>
  <c r="E388" i="14"/>
  <c r="F388" i="14"/>
  <c r="B389" i="14"/>
  <c r="E389" i="14"/>
  <c r="F389" i="14"/>
  <c r="C390" i="14"/>
  <c r="D390" i="14"/>
  <c r="E390" i="14"/>
  <c r="F390" i="14"/>
  <c r="B391" i="14"/>
  <c r="F391" i="14"/>
  <c r="B392" i="14"/>
  <c r="C392" i="14"/>
  <c r="D392" i="14"/>
  <c r="E392" i="14"/>
  <c r="F392" i="14"/>
  <c r="B393" i="14"/>
  <c r="C393" i="14"/>
  <c r="D393" i="14"/>
  <c r="F393" i="14"/>
  <c r="B394" i="14"/>
  <c r="C394" i="14"/>
  <c r="F394" i="14"/>
  <c r="B395" i="14"/>
  <c r="D395" i="14"/>
  <c r="F395" i="14"/>
  <c r="G395" i="14"/>
  <c r="B396" i="14"/>
  <c r="D396" i="14"/>
  <c r="F396" i="14"/>
  <c r="G396" i="14"/>
  <c r="B397" i="14"/>
  <c r="C397" i="14"/>
  <c r="F397" i="14"/>
  <c r="F398" i="14"/>
  <c r="F399" i="14"/>
  <c r="G399" i="14"/>
  <c r="B400" i="14"/>
  <c r="F400" i="14"/>
  <c r="F401" i="14"/>
  <c r="G401" i="14"/>
  <c r="B402" i="14"/>
  <c r="C402" i="14"/>
  <c r="D402" i="14"/>
  <c r="F402" i="14"/>
  <c r="D403" i="14"/>
  <c r="E403" i="14"/>
  <c r="F403" i="14"/>
  <c r="B404" i="14"/>
  <c r="C404" i="14"/>
  <c r="D404" i="14"/>
  <c r="E404" i="14"/>
  <c r="F404" i="14"/>
  <c r="B405" i="14"/>
  <c r="C405" i="14"/>
  <c r="F405" i="14"/>
  <c r="D406" i="14"/>
  <c r="F406" i="14"/>
  <c r="E407" i="14"/>
  <c r="F407" i="14"/>
  <c r="B408" i="14"/>
  <c r="C408" i="14"/>
  <c r="D408" i="14"/>
  <c r="E408" i="14"/>
  <c r="F408" i="14"/>
  <c r="B409" i="14"/>
  <c r="F409" i="14"/>
  <c r="B410" i="14"/>
  <c r="C410" i="14"/>
  <c r="F410" i="14"/>
  <c r="G410" i="14"/>
  <c r="B411" i="14"/>
  <c r="E411" i="14"/>
  <c r="F411" i="14"/>
  <c r="B412" i="14"/>
  <c r="C412" i="14"/>
  <c r="F412" i="14"/>
  <c r="B413" i="14"/>
  <c r="C413" i="14"/>
  <c r="F413" i="14"/>
  <c r="G413" i="14"/>
  <c r="C414" i="14"/>
  <c r="D414" i="14"/>
  <c r="F414" i="14"/>
  <c r="B415" i="14"/>
  <c r="C415" i="14"/>
  <c r="E415" i="14"/>
  <c r="F415" i="14"/>
  <c r="B416" i="14"/>
  <c r="F416" i="14"/>
  <c r="B417" i="14"/>
  <c r="D417" i="14"/>
  <c r="E417" i="14"/>
  <c r="F417" i="14"/>
  <c r="B418" i="14"/>
  <c r="F418" i="14"/>
  <c r="B419" i="14"/>
  <c r="C419" i="14"/>
  <c r="D419" i="14"/>
  <c r="E419" i="14"/>
  <c r="F419" i="14"/>
  <c r="B420" i="14"/>
  <c r="C420" i="14"/>
  <c r="F420" i="14"/>
  <c r="B421" i="14"/>
  <c r="C421" i="14"/>
  <c r="F421" i="14"/>
  <c r="B422" i="14"/>
  <c r="F422" i="14"/>
  <c r="G422" i="14"/>
  <c r="E423" i="14"/>
  <c r="F423" i="14"/>
  <c r="D424" i="14"/>
  <c r="F424" i="14"/>
  <c r="B425" i="14"/>
  <c r="F425" i="14"/>
  <c r="C426" i="14"/>
  <c r="E426" i="14"/>
  <c r="F426" i="14"/>
  <c r="B427" i="14"/>
  <c r="F427" i="14"/>
  <c r="D428" i="14"/>
  <c r="E428" i="14"/>
  <c r="F428" i="14"/>
  <c r="B429" i="14"/>
  <c r="D429" i="14"/>
  <c r="F429" i="14"/>
  <c r="C430" i="14"/>
  <c r="D430" i="14"/>
  <c r="E430" i="14"/>
  <c r="F430" i="14"/>
  <c r="B431" i="14"/>
  <c r="C431" i="14"/>
  <c r="D431" i="14"/>
  <c r="E431" i="14"/>
  <c r="F431" i="14"/>
  <c r="F432" i="14"/>
  <c r="B433" i="14"/>
  <c r="D433" i="14"/>
  <c r="E433" i="14"/>
  <c r="F433" i="14"/>
  <c r="G433" i="14"/>
  <c r="B434" i="14"/>
  <c r="C434" i="14"/>
  <c r="F434" i="14"/>
  <c r="B435" i="14"/>
  <c r="F435" i="14"/>
  <c r="C436" i="14"/>
  <c r="D436" i="14"/>
  <c r="E436" i="14"/>
  <c r="F436" i="14"/>
  <c r="B437" i="14"/>
  <c r="C437" i="14"/>
  <c r="D437" i="14"/>
  <c r="F437" i="14"/>
  <c r="B438" i="14"/>
  <c r="C438" i="14"/>
  <c r="F438" i="14"/>
  <c r="B439" i="14"/>
  <c r="C439" i="14"/>
  <c r="F439" i="14"/>
  <c r="B440" i="14"/>
  <c r="D440" i="14"/>
  <c r="F440" i="14"/>
  <c r="E441" i="14"/>
  <c r="F441" i="14"/>
  <c r="B442" i="14"/>
  <c r="C442" i="14"/>
  <c r="D442" i="14"/>
  <c r="F442" i="14"/>
  <c r="B443" i="14"/>
  <c r="F443" i="14"/>
  <c r="B444" i="14"/>
  <c r="C444" i="14"/>
  <c r="F444" i="14"/>
  <c r="C445" i="14"/>
  <c r="F445" i="14"/>
  <c r="B446" i="14"/>
  <c r="C446" i="14"/>
  <c r="D446" i="14"/>
  <c r="E446" i="14"/>
  <c r="F446" i="14"/>
  <c r="G446" i="14"/>
  <c r="B447" i="14"/>
  <c r="C447" i="14"/>
  <c r="F447" i="14"/>
  <c r="B448" i="14"/>
  <c r="F448" i="14"/>
  <c r="B449" i="14"/>
  <c r="C449" i="14"/>
  <c r="D449" i="14"/>
  <c r="E449" i="14"/>
  <c r="F449" i="14"/>
  <c r="F450" i="14"/>
  <c r="B451" i="14"/>
  <c r="D451" i="14"/>
  <c r="E451" i="14"/>
  <c r="F451" i="14"/>
  <c r="B452" i="14"/>
  <c r="C452" i="14"/>
  <c r="D452" i="14"/>
  <c r="F452" i="14"/>
  <c r="B453" i="14"/>
  <c r="C453" i="14"/>
  <c r="F453" i="14"/>
  <c r="B454" i="14"/>
  <c r="C454" i="14"/>
  <c r="D454" i="14"/>
  <c r="E454" i="14"/>
  <c r="F454" i="14"/>
  <c r="B455" i="14"/>
  <c r="D455" i="14"/>
  <c r="F455" i="14"/>
  <c r="B456" i="14"/>
  <c r="F456" i="14"/>
  <c r="B457" i="14"/>
  <c r="F457" i="14"/>
  <c r="B458" i="14"/>
  <c r="C458" i="14"/>
  <c r="F458" i="14"/>
  <c r="B459" i="14"/>
  <c r="C459" i="14"/>
  <c r="F459" i="14"/>
  <c r="F460" i="14"/>
  <c r="B461" i="14"/>
  <c r="C461" i="14"/>
  <c r="F461" i="14"/>
  <c r="F462" i="14"/>
  <c r="B463" i="14"/>
  <c r="C463" i="14"/>
  <c r="D463" i="14"/>
  <c r="E463" i="14"/>
  <c r="F463" i="14"/>
  <c r="G463" i="14"/>
  <c r="F464" i="14"/>
  <c r="B465" i="14"/>
  <c r="C465" i="14"/>
  <c r="F465" i="14"/>
  <c r="E466" i="14"/>
  <c r="F466" i="14"/>
  <c r="G466" i="14"/>
  <c r="B467" i="14"/>
  <c r="D467" i="14"/>
  <c r="F467" i="14"/>
  <c r="F468" i="14"/>
  <c r="B469" i="14"/>
  <c r="C469" i="14"/>
  <c r="D469" i="14"/>
  <c r="F469" i="14"/>
  <c r="C470" i="14"/>
  <c r="D470" i="14"/>
  <c r="E470" i="14"/>
  <c r="F470" i="14"/>
  <c r="B471" i="14"/>
  <c r="C471" i="14"/>
  <c r="F471" i="14"/>
  <c r="C472" i="14"/>
  <c r="E472" i="14"/>
  <c r="F472" i="14"/>
  <c r="C473" i="14"/>
  <c r="D473" i="14"/>
  <c r="E473" i="14"/>
  <c r="F473" i="14"/>
  <c r="B474" i="14"/>
  <c r="C474" i="14"/>
  <c r="E474" i="14"/>
  <c r="F474" i="14"/>
  <c r="D475" i="14"/>
  <c r="F475" i="14"/>
  <c r="B476" i="14"/>
  <c r="C476" i="14"/>
  <c r="D476" i="14"/>
  <c r="E476" i="14"/>
  <c r="F476" i="14"/>
  <c r="G476" i="14"/>
  <c r="F477" i="14"/>
  <c r="B478" i="14"/>
  <c r="C478" i="14"/>
  <c r="F478" i="14"/>
  <c r="B479" i="14"/>
  <c r="F479" i="14"/>
  <c r="G479" i="14"/>
  <c r="F480" i="14"/>
  <c r="B481" i="14"/>
  <c r="C481" i="14"/>
  <c r="F481" i="14"/>
  <c r="B482" i="14"/>
  <c r="C482" i="14"/>
  <c r="E482" i="14"/>
  <c r="F482" i="14"/>
  <c r="B483" i="14"/>
  <c r="C483" i="14"/>
  <c r="F483" i="14"/>
  <c r="B484" i="14"/>
  <c r="C484" i="14"/>
  <c r="D484" i="14"/>
  <c r="E484" i="14"/>
  <c r="F484" i="14"/>
  <c r="B485" i="14"/>
  <c r="F485" i="14"/>
  <c r="B486" i="14"/>
  <c r="D486" i="14"/>
  <c r="E486" i="14"/>
  <c r="F486" i="14"/>
  <c r="G486" i="14"/>
  <c r="C487" i="14"/>
  <c r="F487" i="14"/>
  <c r="B488" i="14"/>
  <c r="C488" i="14"/>
  <c r="F488" i="14"/>
  <c r="C489" i="14"/>
  <c r="D489" i="14"/>
  <c r="E489" i="14"/>
  <c r="F489" i="14"/>
  <c r="B490" i="14"/>
  <c r="C490" i="14"/>
  <c r="E490" i="14"/>
  <c r="F490" i="14"/>
  <c r="B491" i="14"/>
  <c r="C491" i="14"/>
  <c r="F491" i="14"/>
  <c r="B492" i="14"/>
  <c r="C492" i="14"/>
  <c r="D492" i="14"/>
  <c r="F492" i="14"/>
  <c r="C493" i="14"/>
  <c r="D493" i="14"/>
  <c r="E493" i="14"/>
  <c r="F493" i="14"/>
  <c r="C494" i="14"/>
  <c r="F494" i="14"/>
  <c r="C495" i="14"/>
  <c r="F495" i="14"/>
  <c r="C496" i="14"/>
  <c r="D496" i="14"/>
  <c r="F496" i="14"/>
  <c r="G496" i="14"/>
  <c r="B497" i="14"/>
  <c r="D497" i="14"/>
  <c r="F497" i="14"/>
  <c r="B498" i="14"/>
  <c r="E498" i="14"/>
  <c r="F498" i="14"/>
  <c r="G498" i="14"/>
  <c r="B499" i="14"/>
  <c r="E499" i="14"/>
  <c r="F499" i="14"/>
  <c r="D500" i="14"/>
  <c r="E500" i="14"/>
  <c r="F500" i="14"/>
  <c r="B501" i="14"/>
  <c r="C501" i="14"/>
  <c r="D501" i="14"/>
  <c r="E501" i="14"/>
  <c r="F501" i="14"/>
  <c r="B502" i="14"/>
  <c r="C502" i="14"/>
  <c r="E502" i="14"/>
  <c r="F502" i="14"/>
  <c r="G502" i="14"/>
  <c r="C503" i="14"/>
  <c r="D503" i="14"/>
  <c r="F503" i="14"/>
  <c r="C504" i="14"/>
  <c r="F504" i="14"/>
  <c r="B505" i="14"/>
  <c r="C505" i="14"/>
  <c r="F505" i="14"/>
  <c r="C506" i="14"/>
  <c r="D506" i="14"/>
  <c r="F506" i="14"/>
  <c r="F507" i="14"/>
  <c r="B508" i="14"/>
  <c r="E508" i="14"/>
  <c r="F508" i="14"/>
  <c r="G508" i="14"/>
  <c r="B509" i="14"/>
  <c r="F509" i="14"/>
  <c r="B510" i="14"/>
  <c r="C510" i="14"/>
  <c r="E510" i="14"/>
  <c r="F510" i="14"/>
  <c r="E511" i="14"/>
  <c r="F511" i="14"/>
  <c r="B512" i="14"/>
  <c r="C512" i="14"/>
  <c r="F512" i="14"/>
  <c r="C513" i="14"/>
  <c r="E513" i="14"/>
  <c r="F513" i="14"/>
  <c r="G513" i="14"/>
  <c r="B514" i="14"/>
  <c r="E514" i="14"/>
  <c r="F514" i="14"/>
  <c r="C515" i="14"/>
  <c r="F515" i="14"/>
  <c r="B516" i="14"/>
  <c r="C516" i="14"/>
  <c r="E516" i="14"/>
  <c r="F516" i="14"/>
  <c r="C517" i="14"/>
  <c r="E517" i="14"/>
  <c r="F517" i="14"/>
  <c r="B518" i="14"/>
  <c r="C518" i="14"/>
  <c r="D518" i="14"/>
  <c r="F518" i="14"/>
  <c r="B519" i="14"/>
  <c r="C519" i="14"/>
  <c r="E519" i="14"/>
  <c r="F519" i="14"/>
  <c r="B520" i="14"/>
  <c r="C520" i="14"/>
  <c r="F520" i="14"/>
  <c r="G520" i="14"/>
  <c r="B521" i="14"/>
  <c r="C521" i="14"/>
  <c r="F521" i="14"/>
  <c r="B522" i="14"/>
  <c r="C522" i="14"/>
  <c r="D522" i="14"/>
  <c r="E522" i="14"/>
  <c r="F522" i="14"/>
  <c r="C523" i="14"/>
  <c r="D523" i="14"/>
  <c r="E523" i="14"/>
  <c r="F523" i="14"/>
  <c r="B524" i="14"/>
  <c r="C524" i="14"/>
  <c r="F524" i="14"/>
  <c r="C525" i="14"/>
  <c r="F525" i="14"/>
  <c r="B526" i="14"/>
  <c r="D526" i="14"/>
  <c r="E526" i="14"/>
  <c r="F526" i="14"/>
  <c r="B527" i="14"/>
  <c r="C527" i="14"/>
  <c r="F527" i="14"/>
  <c r="B528" i="14"/>
  <c r="F528" i="14"/>
  <c r="B529" i="14"/>
  <c r="C529" i="14"/>
  <c r="D529" i="14"/>
  <c r="E529" i="14"/>
  <c r="F529" i="14"/>
  <c r="G529" i="14"/>
  <c r="B530" i="14"/>
  <c r="F530" i="14"/>
  <c r="B531" i="14"/>
  <c r="C531" i="14"/>
  <c r="D531" i="14"/>
  <c r="E531" i="14"/>
  <c r="F531" i="14"/>
  <c r="E532" i="14"/>
  <c r="F532" i="14"/>
  <c r="G532" i="14"/>
  <c r="B533" i="14"/>
  <c r="C533" i="14"/>
  <c r="F533" i="14"/>
  <c r="C534" i="14"/>
  <c r="D534" i="14"/>
  <c r="F534" i="14"/>
  <c r="B535" i="14"/>
  <c r="F535" i="14"/>
  <c r="B536" i="14"/>
  <c r="C536" i="14"/>
  <c r="F536" i="14"/>
  <c r="B537" i="14"/>
  <c r="C537" i="14"/>
  <c r="D537" i="14"/>
  <c r="F537" i="14"/>
  <c r="B538" i="14"/>
  <c r="C538" i="14"/>
  <c r="D538" i="14"/>
  <c r="F538" i="14"/>
  <c r="B539" i="14"/>
  <c r="C539" i="14"/>
  <c r="D539" i="14"/>
  <c r="E539" i="14"/>
  <c r="F539" i="14"/>
  <c r="C540" i="14"/>
  <c r="F540" i="14"/>
  <c r="B541" i="14"/>
  <c r="C541" i="14"/>
  <c r="F541" i="14"/>
  <c r="B542" i="14"/>
  <c r="C542" i="14"/>
  <c r="D542" i="14"/>
  <c r="E542" i="14"/>
  <c r="F542" i="14"/>
  <c r="E543" i="14"/>
  <c r="F543" i="14"/>
  <c r="B544" i="14"/>
  <c r="C544" i="14"/>
  <c r="E544" i="14"/>
  <c r="F544" i="14"/>
  <c r="F545" i="14"/>
  <c r="B546" i="14"/>
  <c r="C546" i="14"/>
  <c r="D546" i="14"/>
  <c r="F546" i="14"/>
  <c r="B547" i="14"/>
  <c r="D547" i="14"/>
  <c r="E547" i="14"/>
  <c r="F547" i="14"/>
  <c r="G547" i="14"/>
  <c r="B548" i="14"/>
  <c r="C548" i="14"/>
  <c r="D548" i="14"/>
  <c r="E548" i="14"/>
  <c r="F548" i="14"/>
  <c r="E549" i="14"/>
  <c r="F549" i="14"/>
  <c r="B550" i="14"/>
  <c r="F550" i="14"/>
  <c r="B551" i="14"/>
  <c r="F551" i="14"/>
  <c r="B552" i="14"/>
  <c r="C552" i="14"/>
  <c r="D552" i="14"/>
  <c r="E552" i="14"/>
  <c r="F552" i="14"/>
  <c r="B553" i="14"/>
  <c r="D553" i="14"/>
  <c r="F553" i="14"/>
  <c r="B554" i="14"/>
  <c r="C554" i="14"/>
  <c r="F554" i="14"/>
  <c r="B555" i="14"/>
  <c r="F555" i="14"/>
  <c r="E556" i="14"/>
  <c r="F556" i="14"/>
  <c r="B557" i="14"/>
  <c r="C557" i="14"/>
  <c r="D557" i="14"/>
  <c r="E557" i="14"/>
  <c r="F557" i="14"/>
  <c r="D558" i="14"/>
  <c r="F558" i="14"/>
  <c r="B559" i="14"/>
  <c r="C559" i="14"/>
  <c r="D559" i="14"/>
  <c r="F559" i="14"/>
  <c r="B560" i="14"/>
  <c r="C560" i="14"/>
  <c r="F560" i="14"/>
  <c r="B561" i="14"/>
  <c r="C561" i="14"/>
  <c r="D561" i="14"/>
  <c r="E561" i="14"/>
  <c r="F561" i="14"/>
  <c r="B562" i="14"/>
  <c r="C562" i="14"/>
  <c r="D562" i="14"/>
  <c r="F562" i="14"/>
  <c r="B563" i="14"/>
  <c r="C563" i="14"/>
  <c r="D563" i="14"/>
  <c r="F563" i="14"/>
  <c r="B564" i="14"/>
  <c r="C564" i="14"/>
  <c r="D564" i="14"/>
  <c r="E564" i="14"/>
  <c r="F564" i="14"/>
  <c r="F565" i="14"/>
  <c r="B566" i="14"/>
  <c r="C566" i="14"/>
  <c r="D566" i="14"/>
  <c r="E566" i="14"/>
  <c r="F566" i="14"/>
  <c r="G566" i="14"/>
  <c r="C567" i="14"/>
  <c r="E567" i="14"/>
  <c r="F567" i="14"/>
  <c r="B568" i="14"/>
  <c r="C568" i="14"/>
  <c r="F568" i="14"/>
  <c r="B569" i="14"/>
  <c r="C569" i="14"/>
  <c r="E569" i="14"/>
  <c r="F569" i="14"/>
  <c r="B570" i="14"/>
  <c r="C570" i="14"/>
  <c r="D570" i="14"/>
  <c r="F570" i="14"/>
  <c r="B571" i="14"/>
  <c r="C571" i="14"/>
  <c r="D571" i="14"/>
  <c r="F571" i="14"/>
  <c r="F572" i="14"/>
  <c r="B573" i="14"/>
  <c r="C573" i="14"/>
  <c r="D573" i="14"/>
  <c r="E573" i="14"/>
  <c r="F573" i="14"/>
  <c r="C574" i="14"/>
  <c r="F574" i="14"/>
  <c r="B575" i="14"/>
  <c r="C575" i="14"/>
  <c r="D575" i="14"/>
  <c r="E575" i="14"/>
  <c r="F575" i="14"/>
  <c r="G575" i="14"/>
  <c r="B576" i="14"/>
  <c r="C576" i="14"/>
  <c r="E576" i="14"/>
  <c r="F576" i="14"/>
  <c r="B577" i="14"/>
  <c r="C577" i="14"/>
  <c r="F577" i="14"/>
  <c r="B578" i="14"/>
  <c r="C578" i="14"/>
  <c r="E578" i="14"/>
  <c r="F578" i="14"/>
  <c r="G578" i="14"/>
  <c r="B579" i="14"/>
  <c r="C579" i="14"/>
  <c r="F579" i="14"/>
  <c r="B580" i="14"/>
  <c r="C580" i="14"/>
  <c r="D580" i="14"/>
  <c r="F580" i="14"/>
  <c r="D581" i="14"/>
  <c r="E581" i="14"/>
  <c r="F581" i="14"/>
  <c r="G581" i="14"/>
  <c r="B582" i="14"/>
  <c r="C582" i="14"/>
  <c r="F582" i="14"/>
  <c r="B583" i="14"/>
  <c r="C583" i="14"/>
  <c r="D583" i="14"/>
  <c r="E583" i="14"/>
  <c r="F583" i="14"/>
  <c r="B584" i="14"/>
  <c r="C584" i="14"/>
  <c r="F584" i="14"/>
  <c r="B585" i="14"/>
  <c r="C585" i="14"/>
  <c r="F585" i="14"/>
  <c r="B586" i="14"/>
  <c r="F586" i="14"/>
  <c r="B587" i="14"/>
  <c r="C587" i="14"/>
  <c r="D587" i="14"/>
  <c r="E587" i="14"/>
  <c r="F587" i="14"/>
  <c r="B588" i="14"/>
  <c r="C588" i="14"/>
  <c r="D588" i="14"/>
  <c r="E588" i="14"/>
  <c r="F588" i="14"/>
  <c r="B589" i="14"/>
  <c r="E589" i="14"/>
  <c r="F589" i="14"/>
  <c r="G589" i="14"/>
  <c r="B590" i="14"/>
  <c r="C590" i="14"/>
  <c r="D590" i="14"/>
  <c r="E590" i="14"/>
  <c r="F590" i="14"/>
  <c r="B591" i="14"/>
  <c r="C591" i="14"/>
  <c r="F591" i="14"/>
  <c r="B592" i="14"/>
  <c r="C592" i="14"/>
  <c r="D592" i="14"/>
  <c r="E592" i="14"/>
  <c r="F592" i="14"/>
  <c r="C593" i="14"/>
  <c r="D593" i="14"/>
  <c r="F593" i="14"/>
  <c r="B594" i="14"/>
  <c r="C594" i="14"/>
  <c r="D594" i="14"/>
  <c r="E594" i="14"/>
  <c r="F594" i="14"/>
  <c r="B595" i="14"/>
  <c r="C595" i="14"/>
  <c r="F595" i="14"/>
  <c r="B596" i="14"/>
  <c r="C596" i="14"/>
  <c r="D596" i="14"/>
  <c r="F596" i="14"/>
  <c r="B597" i="14"/>
  <c r="C597" i="14"/>
  <c r="D597" i="14"/>
  <c r="F597" i="14"/>
  <c r="F598" i="14"/>
  <c r="B599" i="14"/>
  <c r="C599" i="14"/>
  <c r="E599" i="14"/>
  <c r="F599" i="14"/>
  <c r="G599" i="14"/>
  <c r="B600" i="14"/>
  <c r="C600" i="14"/>
  <c r="D600" i="14"/>
  <c r="F600" i="14"/>
  <c r="B601" i="14"/>
  <c r="D601" i="14"/>
  <c r="F601" i="14"/>
  <c r="B602" i="14"/>
  <c r="C602" i="14"/>
  <c r="D602" i="14"/>
  <c r="E602" i="14"/>
  <c r="F602" i="14"/>
  <c r="E603" i="14"/>
  <c r="F603" i="14"/>
  <c r="B604" i="14"/>
  <c r="C604" i="14"/>
  <c r="D604" i="14"/>
  <c r="E604" i="14"/>
  <c r="F604" i="14"/>
  <c r="G604" i="14"/>
  <c r="B605" i="14"/>
  <c r="D605" i="14"/>
  <c r="F605" i="14"/>
  <c r="B606" i="14"/>
  <c r="C606" i="14"/>
  <c r="D606" i="14"/>
  <c r="F606" i="14"/>
  <c r="C607" i="14"/>
  <c r="F607" i="14"/>
  <c r="B608" i="14"/>
  <c r="F608" i="14"/>
  <c r="B609" i="14"/>
  <c r="D609" i="14"/>
  <c r="E609" i="14"/>
  <c r="F609" i="14"/>
  <c r="B610" i="14"/>
  <c r="C610" i="14"/>
  <c r="E610" i="14"/>
  <c r="F610" i="14"/>
  <c r="C611" i="14"/>
  <c r="F611" i="14"/>
  <c r="B612" i="14"/>
  <c r="C612" i="14"/>
  <c r="D612" i="14"/>
  <c r="F612" i="14"/>
  <c r="B613" i="14"/>
  <c r="C613" i="14"/>
  <c r="F613" i="14"/>
  <c r="G613" i="14"/>
  <c r="B614" i="14"/>
  <c r="C614" i="14"/>
  <c r="D614" i="14"/>
  <c r="F614" i="14"/>
  <c r="C615" i="14"/>
  <c r="D615" i="14"/>
  <c r="E615" i="14"/>
  <c r="F615" i="14"/>
  <c r="B616" i="14"/>
  <c r="C616" i="14"/>
  <c r="F616" i="14"/>
  <c r="B617" i="14"/>
  <c r="C617" i="14"/>
  <c r="D617" i="14"/>
  <c r="E617" i="14"/>
  <c r="F617" i="14"/>
  <c r="G617" i="14"/>
  <c r="B618" i="14"/>
  <c r="C618" i="14"/>
  <c r="D618" i="14"/>
  <c r="F618" i="14"/>
  <c r="B619" i="14"/>
  <c r="C619" i="14"/>
  <c r="F619" i="14"/>
  <c r="D620" i="14"/>
  <c r="E620" i="14"/>
  <c r="F620" i="14"/>
  <c r="G620" i="14"/>
  <c r="B621" i="14"/>
  <c r="C621" i="14"/>
  <c r="E621" i="14"/>
  <c r="F621" i="14"/>
  <c r="B622" i="14"/>
  <c r="C622" i="14"/>
  <c r="D622" i="14"/>
  <c r="E622" i="14"/>
  <c r="F622" i="14"/>
  <c r="B623" i="14"/>
  <c r="C623" i="14"/>
  <c r="F623" i="14"/>
  <c r="B624" i="14"/>
  <c r="C624" i="14"/>
  <c r="D624" i="14"/>
  <c r="F624" i="14"/>
  <c r="E625" i="14"/>
  <c r="F625" i="14"/>
  <c r="B626" i="14"/>
  <c r="C626" i="14"/>
  <c r="D626" i="14"/>
  <c r="F626" i="14"/>
  <c r="B627" i="14"/>
  <c r="D627" i="14"/>
  <c r="F627" i="14"/>
  <c r="G627" i="14"/>
  <c r="B628" i="14"/>
  <c r="C628" i="14"/>
  <c r="E628" i="14"/>
  <c r="F628" i="14"/>
  <c r="B629" i="14"/>
  <c r="D629" i="14"/>
  <c r="F629" i="14"/>
  <c r="G629" i="14"/>
  <c r="B630" i="14"/>
  <c r="F630" i="14"/>
  <c r="G630" i="14"/>
  <c r="B631" i="14"/>
  <c r="D631" i="14"/>
  <c r="F631" i="14"/>
  <c r="B632" i="14"/>
  <c r="C632" i="14"/>
  <c r="F632" i="14"/>
  <c r="B633" i="14"/>
  <c r="C633" i="14"/>
  <c r="E633" i="14"/>
  <c r="F633" i="14"/>
  <c r="G633" i="14"/>
  <c r="B634" i="14"/>
  <c r="C634" i="14"/>
  <c r="E634" i="14"/>
  <c r="F634" i="14"/>
  <c r="B635" i="14"/>
  <c r="C635" i="14"/>
  <c r="F635" i="14"/>
  <c r="G635" i="14"/>
  <c r="C636" i="14"/>
  <c r="E636" i="14"/>
  <c r="F636" i="14"/>
  <c r="G636" i="14"/>
  <c r="C637" i="14"/>
  <c r="D637" i="14"/>
  <c r="E637" i="14"/>
  <c r="F637" i="14"/>
  <c r="B638" i="14"/>
  <c r="D638" i="14"/>
  <c r="E638" i="14"/>
  <c r="F638" i="14"/>
  <c r="B639" i="14"/>
  <c r="C639" i="14"/>
  <c r="E639" i="14"/>
  <c r="F639" i="14"/>
  <c r="G639" i="14"/>
  <c r="C640" i="14"/>
  <c r="F640" i="14"/>
  <c r="B641" i="14"/>
  <c r="C641" i="14"/>
  <c r="F641" i="14"/>
  <c r="D642" i="14"/>
  <c r="E642" i="14"/>
  <c r="F642" i="14"/>
  <c r="G642" i="14"/>
  <c r="B643" i="14"/>
  <c r="C643" i="14"/>
  <c r="D643" i="14"/>
  <c r="E643" i="14"/>
  <c r="F643" i="14"/>
  <c r="D644" i="14"/>
  <c r="E644" i="14"/>
  <c r="F644" i="14"/>
  <c r="B645" i="14"/>
  <c r="C645" i="14"/>
  <c r="F645" i="14"/>
  <c r="B646" i="14"/>
  <c r="F646" i="14"/>
  <c r="G646" i="14"/>
  <c r="E647" i="14"/>
  <c r="F647" i="14"/>
  <c r="B648" i="14"/>
  <c r="C648" i="14"/>
  <c r="F648" i="14"/>
  <c r="B649" i="14"/>
  <c r="C649" i="14"/>
  <c r="D649" i="14"/>
  <c r="E649" i="14"/>
  <c r="F649" i="14"/>
  <c r="G649" i="14"/>
  <c r="B650" i="14"/>
  <c r="D650" i="14"/>
  <c r="F650" i="14"/>
  <c r="B651" i="14"/>
  <c r="C651" i="14"/>
  <c r="D651" i="14"/>
  <c r="F651" i="14"/>
  <c r="B652" i="14"/>
  <c r="F652" i="14"/>
  <c r="B653" i="14"/>
  <c r="C653" i="14"/>
  <c r="D653" i="14"/>
  <c r="E653" i="14"/>
  <c r="F653" i="14"/>
  <c r="B654" i="14"/>
  <c r="C654" i="14"/>
  <c r="D654" i="14"/>
  <c r="E654" i="14"/>
  <c r="F654" i="14"/>
  <c r="B655" i="14"/>
  <c r="C655" i="14"/>
  <c r="F655" i="14"/>
  <c r="G655" i="14"/>
  <c r="B656" i="14"/>
  <c r="C656" i="14"/>
  <c r="D656" i="14"/>
  <c r="F656" i="14"/>
  <c r="B657" i="14"/>
  <c r="C657" i="14"/>
  <c r="F657" i="14"/>
  <c r="B658" i="14"/>
  <c r="C658" i="14"/>
  <c r="D658" i="14"/>
  <c r="E658" i="14"/>
  <c r="F658" i="14"/>
  <c r="C659" i="14"/>
  <c r="D659" i="14"/>
  <c r="E659" i="14"/>
  <c r="F659" i="14"/>
  <c r="G659" i="14"/>
  <c r="B660" i="14"/>
  <c r="C660" i="14"/>
  <c r="D660" i="14"/>
  <c r="E660" i="14"/>
  <c r="F660" i="14"/>
  <c r="G660" i="14"/>
  <c r="B661" i="14"/>
  <c r="C661" i="14"/>
  <c r="D661" i="14"/>
  <c r="F661" i="14"/>
  <c r="B662" i="14"/>
  <c r="C662" i="14"/>
  <c r="F662" i="14"/>
  <c r="B663" i="14"/>
  <c r="D663" i="14"/>
  <c r="F663" i="14"/>
  <c r="G663" i="14"/>
  <c r="D664" i="14"/>
  <c r="F664" i="14"/>
  <c r="C665" i="14"/>
  <c r="E665" i="14"/>
  <c r="F665" i="14"/>
  <c r="B666" i="14"/>
  <c r="C666" i="14"/>
  <c r="D666" i="14"/>
  <c r="E666" i="14"/>
  <c r="F666" i="14"/>
  <c r="G666" i="14"/>
  <c r="B667" i="14"/>
  <c r="F667" i="14"/>
  <c r="B668" i="14"/>
  <c r="C668" i="14"/>
  <c r="D668" i="14"/>
  <c r="E668" i="14"/>
  <c r="F668" i="14"/>
  <c r="F669" i="14"/>
  <c r="B670" i="14"/>
  <c r="C670" i="14"/>
  <c r="D670" i="14"/>
  <c r="E670" i="14"/>
  <c r="F670" i="14"/>
  <c r="G670" i="14"/>
  <c r="B671" i="14"/>
  <c r="D671" i="14"/>
  <c r="E671" i="14"/>
  <c r="F671" i="14"/>
  <c r="B672" i="14"/>
  <c r="C672" i="14"/>
  <c r="F672" i="14"/>
  <c r="C673" i="14"/>
  <c r="D673" i="14"/>
  <c r="E673" i="14"/>
  <c r="F673" i="14"/>
  <c r="B674" i="14"/>
  <c r="F674" i="14"/>
  <c r="G674" i="14"/>
  <c r="B675" i="14"/>
  <c r="C675" i="14"/>
  <c r="D675" i="14"/>
  <c r="F675" i="14"/>
  <c r="B676" i="14"/>
  <c r="C676" i="14"/>
  <c r="F676" i="14"/>
  <c r="G676" i="14"/>
  <c r="B677" i="14"/>
  <c r="C677" i="14"/>
  <c r="D677" i="14"/>
  <c r="E677" i="14"/>
  <c r="F677" i="14"/>
  <c r="B678" i="14"/>
  <c r="C678" i="14"/>
  <c r="D678" i="14"/>
  <c r="E678" i="14"/>
  <c r="F678" i="14"/>
  <c r="B679" i="14"/>
  <c r="C679" i="14"/>
  <c r="F679" i="14"/>
  <c r="B680" i="14"/>
  <c r="C680" i="14"/>
  <c r="F680" i="14"/>
  <c r="C681" i="14"/>
  <c r="D681" i="14"/>
  <c r="E681" i="14"/>
  <c r="F681" i="14"/>
  <c r="B682" i="14"/>
  <c r="C682" i="14"/>
  <c r="D682" i="14"/>
  <c r="E682" i="14"/>
  <c r="F682" i="14"/>
  <c r="B683" i="14"/>
  <c r="C683" i="14"/>
  <c r="F683" i="14"/>
  <c r="B684" i="14"/>
  <c r="D684" i="14"/>
  <c r="F684" i="14"/>
  <c r="B685" i="14"/>
  <c r="C685" i="14"/>
  <c r="F685" i="14"/>
  <c r="E686" i="14"/>
  <c r="F686" i="14"/>
  <c r="B687" i="14"/>
  <c r="C687" i="14"/>
  <c r="D687" i="14"/>
  <c r="E687" i="14"/>
  <c r="F687" i="14"/>
  <c r="B688" i="14"/>
  <c r="C688" i="14"/>
  <c r="F688" i="14"/>
  <c r="B689" i="14"/>
  <c r="C689" i="14"/>
  <c r="D689" i="14"/>
  <c r="E689" i="14"/>
  <c r="F689" i="14"/>
  <c r="B690" i="14"/>
  <c r="C690" i="14"/>
  <c r="F690" i="14"/>
  <c r="F691" i="14"/>
  <c r="G691" i="14"/>
  <c r="B692" i="14"/>
  <c r="D692" i="14"/>
  <c r="F692" i="14"/>
  <c r="B693" i="14"/>
  <c r="C693" i="14"/>
  <c r="D693" i="14"/>
  <c r="E693" i="14"/>
  <c r="F693" i="14"/>
  <c r="C694" i="14"/>
  <c r="F694" i="14"/>
  <c r="B695" i="14"/>
  <c r="C695" i="14"/>
  <c r="D695" i="14"/>
  <c r="E695" i="14"/>
  <c r="F695" i="14"/>
  <c r="B696" i="14"/>
  <c r="F696" i="14"/>
  <c r="B697" i="14"/>
  <c r="C697" i="14"/>
  <c r="D697" i="14"/>
  <c r="E697" i="14"/>
  <c r="F697" i="14"/>
  <c r="G697" i="14"/>
  <c r="B698" i="14"/>
  <c r="D698" i="14"/>
  <c r="F698" i="14"/>
  <c r="B699" i="14"/>
  <c r="C699" i="14"/>
  <c r="D699" i="14"/>
  <c r="E699" i="14"/>
  <c r="F699" i="14"/>
  <c r="B700" i="14"/>
  <c r="D700" i="14"/>
  <c r="E700" i="14"/>
  <c r="F700" i="14"/>
  <c r="G700" i="14"/>
  <c r="B701" i="14"/>
  <c r="C701" i="14"/>
  <c r="F701" i="14"/>
  <c r="B702" i="14"/>
  <c r="C702" i="14"/>
  <c r="D702" i="14"/>
  <c r="E702" i="14"/>
  <c r="F702" i="14"/>
  <c r="B703" i="14"/>
  <c r="C703" i="14"/>
  <c r="F703" i="14"/>
  <c r="B704" i="14"/>
  <c r="C704" i="14"/>
  <c r="D704" i="14"/>
  <c r="E704" i="14"/>
  <c r="F704" i="14"/>
  <c r="B705" i="14"/>
  <c r="C705" i="14"/>
  <c r="F705" i="14"/>
  <c r="B706" i="14"/>
  <c r="C706" i="14"/>
  <c r="D706" i="14"/>
  <c r="F706" i="14"/>
  <c r="G706" i="14"/>
  <c r="B707" i="14"/>
  <c r="C707" i="14"/>
  <c r="F707" i="14"/>
  <c r="C708" i="14"/>
  <c r="D708" i="14"/>
  <c r="F708" i="14"/>
  <c r="B709" i="14"/>
  <c r="D709" i="14"/>
  <c r="F709" i="14"/>
  <c r="B710" i="14"/>
  <c r="C710" i="14"/>
  <c r="D710" i="14"/>
  <c r="E710" i="14"/>
  <c r="F710" i="14"/>
  <c r="B711" i="14"/>
  <c r="D711" i="14"/>
  <c r="E711" i="14"/>
  <c r="F711" i="14"/>
  <c r="B712" i="14"/>
  <c r="C712" i="14"/>
  <c r="D712" i="14"/>
  <c r="E712" i="14"/>
  <c r="F712" i="14"/>
  <c r="G712" i="14"/>
  <c r="C713" i="14"/>
  <c r="D713" i="14"/>
  <c r="E713" i="14"/>
  <c r="F713" i="14"/>
  <c r="B714" i="14"/>
  <c r="C714" i="14"/>
  <c r="D714" i="14"/>
  <c r="E714" i="14"/>
  <c r="F714" i="14"/>
  <c r="B715" i="14"/>
  <c r="C715" i="14"/>
  <c r="F715" i="14"/>
  <c r="B716" i="14"/>
  <c r="C716" i="14"/>
  <c r="D716" i="14"/>
  <c r="F716" i="14"/>
  <c r="B717" i="14"/>
  <c r="C717" i="14"/>
  <c r="D717" i="14"/>
  <c r="E717" i="14"/>
  <c r="F717" i="14"/>
  <c r="D718" i="14"/>
  <c r="F718" i="14"/>
  <c r="G718" i="14"/>
  <c r="B719" i="14"/>
  <c r="C719" i="14"/>
  <c r="D719" i="14"/>
  <c r="E719" i="14"/>
  <c r="F719" i="14"/>
  <c r="G719" i="14"/>
  <c r="C720" i="14"/>
  <c r="D720" i="14"/>
  <c r="F720" i="14"/>
  <c r="B721" i="14"/>
  <c r="C721" i="14"/>
  <c r="D721" i="14"/>
  <c r="E721" i="14"/>
  <c r="F721" i="14"/>
  <c r="G721" i="14"/>
  <c r="B722" i="14"/>
  <c r="C722" i="14"/>
  <c r="F722" i="14"/>
  <c r="B723" i="14"/>
  <c r="C723" i="14"/>
  <c r="E723" i="14"/>
  <c r="F723" i="14"/>
  <c r="B724" i="14"/>
  <c r="C724" i="14"/>
  <c r="D724" i="14"/>
  <c r="E724" i="14"/>
  <c r="F724" i="14"/>
  <c r="B725" i="14"/>
  <c r="C725" i="14"/>
  <c r="E725" i="14"/>
  <c r="F725" i="14"/>
  <c r="B726" i="14"/>
  <c r="C726" i="14"/>
  <c r="D726" i="14"/>
  <c r="E726" i="14"/>
  <c r="F726" i="14"/>
  <c r="G726" i="14"/>
  <c r="B727" i="14"/>
  <c r="D727" i="14"/>
  <c r="E727" i="14"/>
  <c r="F727" i="14"/>
  <c r="G727" i="14"/>
  <c r="B728" i="14"/>
  <c r="C728" i="14"/>
  <c r="D728" i="14"/>
  <c r="F728" i="14"/>
  <c r="B729" i="14"/>
  <c r="C729" i="14"/>
  <c r="D729" i="14"/>
  <c r="E729" i="14"/>
  <c r="F729" i="14"/>
  <c r="B730" i="14"/>
  <c r="C730" i="14"/>
  <c r="D730" i="14"/>
  <c r="F730" i="14"/>
  <c r="G730" i="14"/>
  <c r="B731" i="14"/>
  <c r="C731" i="14"/>
  <c r="F731" i="14"/>
  <c r="B732" i="14"/>
  <c r="C732" i="14"/>
  <c r="F732" i="14"/>
  <c r="B733" i="14"/>
  <c r="C733" i="14"/>
  <c r="D733" i="14"/>
  <c r="E733" i="14"/>
  <c r="F733" i="14"/>
  <c r="B734" i="14"/>
  <c r="E734" i="14"/>
  <c r="F734" i="14"/>
  <c r="G734" i="14"/>
  <c r="C735" i="14"/>
  <c r="D735" i="14"/>
  <c r="E735" i="14"/>
  <c r="F735" i="14"/>
  <c r="B736" i="14"/>
  <c r="D736" i="14"/>
  <c r="F736" i="14"/>
  <c r="G736" i="14"/>
  <c r="B737" i="14"/>
  <c r="C737" i="14"/>
  <c r="D737" i="14"/>
  <c r="E737" i="14"/>
  <c r="F737" i="14"/>
  <c r="B738" i="14"/>
  <c r="C738" i="14"/>
  <c r="F738" i="14"/>
  <c r="B739" i="14"/>
  <c r="C739" i="14"/>
  <c r="D739" i="14"/>
  <c r="F739" i="14"/>
  <c r="B740" i="14"/>
  <c r="D740" i="14"/>
  <c r="E740" i="14"/>
  <c r="F740" i="14"/>
  <c r="C741" i="14"/>
  <c r="E741" i="14"/>
  <c r="F741" i="14"/>
  <c r="B742" i="14"/>
  <c r="C742" i="14"/>
  <c r="D742" i="14"/>
  <c r="E742" i="14"/>
  <c r="F742" i="14"/>
  <c r="G742" i="14"/>
  <c r="B743" i="14"/>
  <c r="C743" i="14"/>
  <c r="D743" i="14"/>
  <c r="E743" i="14"/>
  <c r="F743" i="14"/>
  <c r="B744" i="14"/>
  <c r="C744" i="14"/>
  <c r="D744" i="14"/>
  <c r="E744" i="14"/>
  <c r="F744" i="14"/>
  <c r="B745" i="14"/>
  <c r="C745" i="14"/>
  <c r="F745" i="14"/>
  <c r="G745" i="14"/>
  <c r="B746" i="14"/>
  <c r="C746" i="14"/>
  <c r="D746" i="14"/>
  <c r="E746" i="14"/>
  <c r="F746" i="14"/>
  <c r="B747" i="14"/>
  <c r="C747" i="14"/>
  <c r="F747" i="14"/>
  <c r="B748" i="14"/>
  <c r="D748" i="14"/>
  <c r="F748" i="14"/>
  <c r="B749" i="14"/>
  <c r="C749" i="14"/>
  <c r="D749" i="14"/>
  <c r="E749" i="14"/>
  <c r="F749" i="14"/>
  <c r="C750" i="14"/>
  <c r="D750" i="14"/>
  <c r="F750" i="14"/>
  <c r="B751" i="14"/>
  <c r="C751" i="14"/>
  <c r="D751" i="14"/>
  <c r="E751" i="14"/>
  <c r="F751" i="14"/>
  <c r="G751" i="14"/>
  <c r="B752" i="14"/>
  <c r="C752" i="14"/>
  <c r="F752" i="14"/>
  <c r="G752" i="14"/>
  <c r="B753" i="14"/>
  <c r="C753" i="14"/>
  <c r="D753" i="14"/>
  <c r="E753" i="14"/>
  <c r="F753" i="14"/>
  <c r="B754" i="14"/>
  <c r="C754" i="14"/>
  <c r="F754" i="14"/>
  <c r="B755" i="14"/>
  <c r="C755" i="14"/>
  <c r="E755" i="14"/>
  <c r="F755" i="14"/>
  <c r="B756" i="14"/>
  <c r="C756" i="14"/>
  <c r="F756" i="14"/>
  <c r="D757" i="14"/>
  <c r="E757" i="14"/>
  <c r="F757" i="14"/>
  <c r="G757" i="14"/>
  <c r="B758" i="14"/>
  <c r="C758" i="14"/>
  <c r="D758" i="14"/>
  <c r="F758" i="14"/>
  <c r="B759" i="14"/>
  <c r="C759" i="14"/>
  <c r="D759" i="14"/>
  <c r="F759" i="14"/>
  <c r="B760" i="14"/>
  <c r="C760" i="14"/>
  <c r="D760" i="14"/>
  <c r="E760" i="14"/>
  <c r="F760" i="14"/>
  <c r="B761" i="14"/>
  <c r="C761" i="14"/>
  <c r="E761" i="14"/>
  <c r="F761" i="14"/>
  <c r="B762" i="14"/>
  <c r="D762" i="14"/>
  <c r="F762" i="14"/>
  <c r="B763" i="14"/>
  <c r="D763" i="14"/>
  <c r="F763" i="14"/>
  <c r="G763" i="14"/>
  <c r="C764" i="14"/>
  <c r="E764" i="14"/>
  <c r="F764" i="14"/>
  <c r="B765" i="14"/>
  <c r="C765" i="14"/>
  <c r="F765" i="14"/>
  <c r="B766" i="14"/>
  <c r="C766" i="14"/>
  <c r="D766" i="14"/>
  <c r="E766" i="14"/>
  <c r="F766" i="14"/>
  <c r="G766" i="14"/>
  <c r="B767" i="14"/>
  <c r="C767" i="14"/>
  <c r="E767" i="14"/>
  <c r="F767" i="14"/>
  <c r="B768" i="14"/>
  <c r="C768" i="14"/>
  <c r="D768" i="14"/>
  <c r="E768" i="14"/>
  <c r="F768" i="14"/>
  <c r="B769" i="14"/>
  <c r="C769" i="14"/>
  <c r="D769" i="14"/>
  <c r="E769" i="14"/>
  <c r="F769" i="14"/>
  <c r="G769" i="14"/>
  <c r="B770" i="14"/>
  <c r="C770" i="14"/>
  <c r="D770" i="14"/>
  <c r="E770" i="14"/>
  <c r="F770" i="14"/>
  <c r="B771" i="14"/>
  <c r="D771" i="14"/>
  <c r="F771" i="14"/>
  <c r="G771" i="14"/>
  <c r="B772" i="14"/>
  <c r="C772" i="14"/>
  <c r="D772" i="14"/>
  <c r="F772" i="14"/>
  <c r="G772" i="14"/>
  <c r="C773" i="14"/>
  <c r="D773" i="14"/>
  <c r="E773" i="14"/>
  <c r="F773" i="14"/>
  <c r="B774" i="14"/>
  <c r="C774" i="14"/>
  <c r="F774" i="14"/>
  <c r="B775" i="14"/>
  <c r="C775" i="14"/>
  <c r="D775" i="14"/>
  <c r="E775" i="14"/>
  <c r="F775" i="14"/>
  <c r="G775" i="14"/>
  <c r="B776" i="14"/>
  <c r="C776" i="14"/>
  <c r="D776" i="14"/>
  <c r="F776" i="14"/>
  <c r="B777" i="14"/>
  <c r="C777" i="14"/>
  <c r="D777" i="14"/>
  <c r="E777" i="14"/>
  <c r="F777" i="14"/>
  <c r="G777" i="14"/>
  <c r="B778" i="14"/>
  <c r="D778" i="14"/>
  <c r="F778" i="14"/>
  <c r="G778" i="14"/>
  <c r="C779" i="14"/>
  <c r="D779" i="14"/>
  <c r="E779" i="14"/>
  <c r="F779" i="14"/>
  <c r="C780" i="14"/>
  <c r="E780" i="14"/>
  <c r="F780" i="14"/>
  <c r="G780" i="14"/>
  <c r="B781" i="14"/>
  <c r="C781" i="14"/>
  <c r="D781" i="14"/>
  <c r="E781" i="14"/>
  <c r="F781" i="14"/>
  <c r="G781" i="14"/>
  <c r="B782" i="14"/>
  <c r="C782" i="14"/>
  <c r="E782" i="14"/>
  <c r="F782" i="14"/>
  <c r="B783" i="14"/>
  <c r="C783" i="14"/>
  <c r="D783" i="14"/>
  <c r="F783" i="14"/>
  <c r="B784" i="14"/>
  <c r="D784" i="14"/>
  <c r="F784" i="14"/>
  <c r="B785" i="14"/>
  <c r="C785" i="14"/>
  <c r="F785" i="14"/>
  <c r="B786" i="14"/>
  <c r="C786" i="14"/>
  <c r="F786" i="14"/>
  <c r="G786" i="14"/>
  <c r="B787" i="14"/>
  <c r="D787" i="14"/>
  <c r="E787" i="14"/>
  <c r="F787" i="14"/>
  <c r="B788" i="14"/>
  <c r="C788" i="14"/>
  <c r="F788" i="14"/>
  <c r="B789" i="14"/>
  <c r="C789" i="14"/>
  <c r="E789" i="14"/>
  <c r="F789" i="14"/>
  <c r="G789" i="14"/>
  <c r="B790" i="14"/>
  <c r="D790" i="14"/>
  <c r="F790" i="14"/>
  <c r="G790" i="14"/>
  <c r="B791" i="14"/>
  <c r="C791" i="14"/>
  <c r="D791" i="14"/>
  <c r="E791" i="14"/>
  <c r="F791" i="14"/>
  <c r="B792" i="14"/>
  <c r="C792" i="14"/>
  <c r="F792" i="14"/>
  <c r="B793" i="14"/>
  <c r="C793" i="14"/>
  <c r="D793" i="14"/>
  <c r="E793" i="14"/>
  <c r="F793" i="14"/>
  <c r="C794" i="14"/>
  <c r="F794" i="14"/>
  <c r="B795" i="14"/>
  <c r="C795" i="14"/>
  <c r="D795" i="14"/>
  <c r="E795" i="14"/>
  <c r="F795" i="14"/>
  <c r="F796" i="14"/>
  <c r="B797" i="14"/>
  <c r="C797" i="14"/>
  <c r="D797" i="14"/>
  <c r="E797" i="14"/>
  <c r="F797" i="14"/>
  <c r="B798" i="14"/>
  <c r="C798" i="14"/>
  <c r="E798" i="14"/>
  <c r="F798" i="14"/>
  <c r="B799" i="14"/>
  <c r="C799" i="14"/>
  <c r="D799" i="14"/>
  <c r="E799" i="14"/>
  <c r="F799" i="14"/>
  <c r="B800" i="14"/>
  <c r="C800" i="14"/>
  <c r="E800" i="14"/>
  <c r="F800" i="14"/>
  <c r="D801" i="14"/>
  <c r="F801" i="14"/>
  <c r="B802" i="14"/>
  <c r="C802" i="14"/>
  <c r="D802" i="14"/>
  <c r="E802" i="14"/>
  <c r="F802" i="14"/>
  <c r="C803" i="14"/>
  <c r="D803" i="14"/>
  <c r="E803" i="14"/>
  <c r="F803" i="14"/>
  <c r="B804" i="14"/>
  <c r="C804" i="14"/>
  <c r="D804" i="14"/>
  <c r="E804" i="14"/>
  <c r="F804" i="14"/>
  <c r="B805" i="14"/>
  <c r="C805" i="14"/>
  <c r="D805" i="14"/>
  <c r="F805" i="14"/>
  <c r="B806" i="14"/>
  <c r="D806" i="14"/>
  <c r="E806" i="14"/>
  <c r="F806" i="14"/>
  <c r="B807" i="14"/>
  <c r="C807" i="14"/>
  <c r="D807" i="14"/>
  <c r="F807" i="14"/>
  <c r="G807" i="14"/>
  <c r="B808" i="14"/>
  <c r="C808" i="14"/>
  <c r="E808" i="14"/>
  <c r="F808" i="14"/>
  <c r="B809" i="14"/>
  <c r="C809" i="14"/>
  <c r="D809" i="14"/>
  <c r="F809" i="14"/>
  <c r="G809" i="14"/>
  <c r="B810" i="14"/>
  <c r="D810" i="14"/>
  <c r="E810" i="14"/>
  <c r="F810" i="14"/>
  <c r="B811" i="14"/>
  <c r="C811" i="14"/>
  <c r="F811" i="14"/>
  <c r="G811" i="14"/>
  <c r="B812" i="14"/>
  <c r="C812" i="14"/>
  <c r="D812" i="14"/>
  <c r="E812" i="14"/>
  <c r="F812" i="14"/>
  <c r="B813" i="14"/>
  <c r="C813" i="14"/>
  <c r="D813" i="14"/>
  <c r="F813" i="14"/>
  <c r="B814" i="14"/>
  <c r="C814" i="14"/>
  <c r="D814" i="14"/>
  <c r="E814" i="14"/>
  <c r="F814" i="14"/>
  <c r="G814" i="14"/>
  <c r="B815" i="14"/>
  <c r="C815" i="14"/>
  <c r="D815" i="14"/>
  <c r="F815" i="14"/>
  <c r="B816" i="14"/>
  <c r="C816" i="14"/>
  <c r="D816" i="14"/>
  <c r="F816" i="14"/>
  <c r="G816" i="14"/>
  <c r="C817" i="14"/>
  <c r="F817" i="14"/>
  <c r="B818" i="14"/>
  <c r="C818" i="14"/>
  <c r="D818" i="14"/>
  <c r="E818" i="14"/>
  <c r="F818" i="14"/>
  <c r="B819" i="14"/>
  <c r="C819" i="14"/>
  <c r="F819" i="14"/>
  <c r="B820" i="14"/>
  <c r="C820" i="14"/>
  <c r="D820" i="14"/>
  <c r="E820" i="14"/>
  <c r="F820" i="14"/>
  <c r="B821" i="14"/>
  <c r="C821" i="14"/>
  <c r="F821" i="14"/>
  <c r="B822" i="14"/>
  <c r="C822" i="14"/>
  <c r="D822" i="14"/>
  <c r="F822" i="14"/>
  <c r="C823" i="14"/>
  <c r="F823" i="14"/>
  <c r="C824" i="14"/>
  <c r="E824" i="14"/>
  <c r="F824" i="14"/>
  <c r="B825" i="14"/>
  <c r="C825" i="14"/>
  <c r="F825" i="14"/>
  <c r="B826" i="14"/>
  <c r="C826" i="14"/>
  <c r="D826" i="14"/>
  <c r="E826" i="14"/>
  <c r="F826" i="14"/>
  <c r="B827" i="14"/>
  <c r="C827" i="14"/>
  <c r="D827" i="14"/>
  <c r="F827" i="14"/>
  <c r="B828" i="14"/>
  <c r="D828" i="14"/>
  <c r="E828" i="14"/>
  <c r="F828" i="14"/>
  <c r="B829" i="14"/>
  <c r="C829" i="14"/>
  <c r="F829" i="14"/>
  <c r="B830" i="14"/>
  <c r="C830" i="14"/>
  <c r="D830" i="14"/>
  <c r="E830" i="14"/>
  <c r="F830" i="14"/>
  <c r="G830" i="14"/>
  <c r="B831" i="14"/>
  <c r="D831" i="14"/>
  <c r="F831" i="14"/>
  <c r="B832" i="14"/>
  <c r="C832" i="14"/>
  <c r="D832" i="14"/>
  <c r="E832" i="14"/>
  <c r="F832" i="14"/>
  <c r="G832" i="14"/>
  <c r="C833" i="14"/>
  <c r="F833" i="14"/>
  <c r="B834" i="14"/>
  <c r="C834" i="14"/>
  <c r="D834" i="14"/>
  <c r="E834" i="14"/>
  <c r="F834" i="14"/>
  <c r="G834" i="14"/>
  <c r="B835" i="14"/>
  <c r="C835" i="14"/>
  <c r="D835" i="14"/>
  <c r="F835" i="14"/>
  <c r="B836" i="14"/>
  <c r="C836" i="14"/>
  <c r="D836" i="14"/>
  <c r="E836" i="14"/>
  <c r="F836" i="14"/>
  <c r="B837" i="14"/>
  <c r="C837" i="14"/>
  <c r="D837" i="14"/>
  <c r="F837" i="14"/>
  <c r="G837" i="14"/>
  <c r="B838" i="14"/>
  <c r="C838" i="14"/>
  <c r="F838" i="14"/>
  <c r="B839" i="14"/>
  <c r="C839" i="14"/>
  <c r="D839" i="14"/>
  <c r="F839" i="14"/>
  <c r="G839" i="14"/>
  <c r="C840" i="14"/>
  <c r="E840" i="14"/>
  <c r="F840" i="14"/>
  <c r="G840" i="14"/>
  <c r="B841" i="14"/>
  <c r="C841" i="14"/>
  <c r="D841" i="14"/>
  <c r="F841" i="14"/>
  <c r="G841" i="14"/>
  <c r="B842" i="14"/>
  <c r="C842" i="14"/>
  <c r="D842" i="14"/>
  <c r="E842" i="14"/>
  <c r="F842" i="14"/>
  <c r="G842" i="14"/>
  <c r="B843" i="14"/>
  <c r="C843" i="14"/>
  <c r="D843" i="14"/>
  <c r="F843" i="14"/>
  <c r="B844" i="14"/>
  <c r="C844" i="14"/>
  <c r="D844" i="14"/>
  <c r="E844" i="14"/>
  <c r="F844" i="14"/>
  <c r="G844" i="14"/>
  <c r="C845" i="14"/>
  <c r="D845" i="14"/>
  <c r="F845" i="14"/>
  <c r="B846" i="14"/>
  <c r="C846" i="14"/>
  <c r="D846" i="14"/>
  <c r="E846" i="14"/>
  <c r="F846" i="14"/>
  <c r="G846" i="14"/>
  <c r="C847" i="14"/>
  <c r="F847" i="14"/>
  <c r="B848" i="14"/>
  <c r="C848" i="14"/>
  <c r="D848" i="14"/>
  <c r="E848" i="14"/>
  <c r="F848" i="14"/>
  <c r="B849" i="14"/>
  <c r="C849" i="14"/>
  <c r="F849" i="14"/>
  <c r="B850" i="14"/>
  <c r="D850" i="14"/>
  <c r="E850" i="14"/>
  <c r="F850" i="14"/>
  <c r="B851" i="14"/>
  <c r="C851" i="14"/>
  <c r="D851" i="14"/>
  <c r="F851" i="14"/>
  <c r="B852" i="14"/>
  <c r="C852" i="14"/>
  <c r="D852" i="14"/>
  <c r="E852" i="14"/>
  <c r="F852" i="14"/>
  <c r="B853" i="14"/>
  <c r="C853" i="14"/>
  <c r="D853" i="14"/>
  <c r="F853" i="14"/>
  <c r="B854" i="14"/>
  <c r="D854" i="14"/>
  <c r="F854" i="14"/>
  <c r="G854" i="14"/>
  <c r="B855" i="14"/>
  <c r="C855" i="14"/>
  <c r="F855" i="14"/>
  <c r="C856" i="14"/>
  <c r="D856" i="14"/>
  <c r="E856" i="14"/>
  <c r="F856" i="14"/>
  <c r="G856" i="14"/>
  <c r="B857" i="14"/>
  <c r="C857" i="14"/>
  <c r="D857" i="14"/>
  <c r="E857" i="14"/>
  <c r="F857" i="14"/>
  <c r="B858" i="14"/>
  <c r="C858" i="14"/>
  <c r="D858" i="14"/>
  <c r="E858" i="14"/>
  <c r="F858" i="14"/>
  <c r="G858" i="14"/>
  <c r="B859" i="14"/>
  <c r="C859" i="14"/>
  <c r="D859" i="14"/>
  <c r="E859" i="14"/>
  <c r="F859" i="14"/>
  <c r="B860" i="14"/>
  <c r="C860" i="14"/>
  <c r="D860" i="14"/>
  <c r="F860" i="14"/>
  <c r="B861" i="14"/>
  <c r="C861" i="14"/>
  <c r="E861" i="14"/>
  <c r="F861" i="14"/>
  <c r="G861" i="14"/>
  <c r="B862" i="14"/>
  <c r="C862" i="14"/>
  <c r="D862" i="14"/>
  <c r="E862" i="14"/>
  <c r="F862" i="14"/>
  <c r="B863" i="14"/>
  <c r="D863" i="14"/>
  <c r="E863" i="14"/>
  <c r="F863" i="14"/>
  <c r="G863" i="14"/>
  <c r="B864" i="14"/>
  <c r="C864" i="14"/>
  <c r="D864" i="14"/>
  <c r="E864" i="14"/>
  <c r="F864" i="14"/>
  <c r="B865" i="14"/>
  <c r="C865" i="14"/>
  <c r="D865" i="14"/>
  <c r="E865" i="14"/>
  <c r="F865" i="14"/>
  <c r="B866" i="14"/>
  <c r="C866" i="14"/>
  <c r="D866" i="14"/>
  <c r="E866" i="14"/>
  <c r="F866" i="14"/>
  <c r="C867" i="14"/>
  <c r="D867" i="14"/>
  <c r="E867" i="14"/>
  <c r="F867" i="14"/>
  <c r="B868" i="14"/>
  <c r="C868" i="14"/>
  <c r="E868" i="14"/>
  <c r="F868" i="14"/>
  <c r="B869" i="14"/>
  <c r="C869" i="14"/>
  <c r="D869" i="14"/>
  <c r="E869" i="14"/>
  <c r="F869" i="14"/>
  <c r="G869" i="14"/>
  <c r="B870" i="14"/>
  <c r="D870" i="14"/>
  <c r="F870" i="14"/>
  <c r="B871" i="14"/>
  <c r="C871" i="14"/>
  <c r="D871" i="14"/>
  <c r="E871" i="14"/>
  <c r="F871" i="14"/>
  <c r="B872" i="14"/>
  <c r="D872" i="14"/>
  <c r="F872" i="14"/>
  <c r="B873" i="14"/>
  <c r="C873" i="14"/>
  <c r="D873" i="14"/>
  <c r="E873" i="14"/>
  <c r="F873" i="14"/>
  <c r="G873" i="14"/>
  <c r="B874" i="14"/>
  <c r="C874" i="14"/>
  <c r="D874" i="14"/>
  <c r="F874" i="14"/>
  <c r="B875" i="14"/>
  <c r="C875" i="14"/>
  <c r="D875" i="14"/>
  <c r="F875" i="14"/>
  <c r="B876" i="14"/>
  <c r="C876" i="14"/>
  <c r="D876" i="14"/>
  <c r="F876" i="14"/>
  <c r="C877" i="14"/>
  <c r="F877" i="14"/>
  <c r="B878" i="14"/>
  <c r="C878" i="14"/>
  <c r="D878" i="14"/>
  <c r="F878" i="14"/>
  <c r="G878" i="14"/>
  <c r="C879" i="14"/>
  <c r="D879" i="14"/>
  <c r="E879" i="14"/>
  <c r="F879" i="14"/>
  <c r="B880" i="14"/>
  <c r="C880" i="14"/>
  <c r="D880" i="14"/>
  <c r="F880" i="14"/>
  <c r="G880" i="14"/>
  <c r="B881" i="14"/>
  <c r="C881" i="14"/>
  <c r="D881" i="14"/>
  <c r="E881" i="14"/>
  <c r="F881" i="14"/>
  <c r="B882" i="14"/>
  <c r="C882" i="14"/>
  <c r="D882" i="14"/>
  <c r="F882" i="14"/>
  <c r="B883" i="14"/>
  <c r="C883" i="14"/>
  <c r="D883" i="14"/>
  <c r="E883" i="14"/>
  <c r="F883" i="14"/>
  <c r="G883" i="14"/>
  <c r="B884" i="14"/>
  <c r="C884" i="14"/>
  <c r="F884" i="14"/>
  <c r="B885" i="14"/>
  <c r="C885" i="14"/>
  <c r="D885" i="14"/>
  <c r="E885" i="14"/>
  <c r="F885" i="14"/>
  <c r="G885" i="14"/>
  <c r="B886" i="14"/>
  <c r="D886" i="14"/>
  <c r="E886" i="14"/>
  <c r="F886" i="14"/>
  <c r="B887" i="14"/>
  <c r="C887" i="14"/>
  <c r="D887" i="14"/>
  <c r="E887" i="14"/>
  <c r="F887" i="14"/>
  <c r="G887" i="14"/>
  <c r="B888" i="14"/>
  <c r="C888" i="14"/>
  <c r="D888" i="14"/>
  <c r="E888" i="14"/>
  <c r="F888" i="14"/>
  <c r="G888" i="14"/>
  <c r="C889" i="14"/>
  <c r="D889" i="14"/>
  <c r="E889" i="14"/>
  <c r="F889" i="14"/>
  <c r="B890" i="14"/>
  <c r="C890" i="14"/>
  <c r="D890" i="14"/>
  <c r="E890" i="14"/>
  <c r="F890" i="14"/>
  <c r="G890" i="14"/>
  <c r="B891" i="14"/>
  <c r="C891" i="14"/>
  <c r="E891" i="14"/>
  <c r="F891" i="14"/>
  <c r="B892" i="14"/>
  <c r="C892" i="14"/>
  <c r="D892" i="14"/>
  <c r="E892" i="14"/>
  <c r="F892" i="14"/>
  <c r="B893" i="14"/>
  <c r="D893" i="14"/>
  <c r="E893" i="14"/>
  <c r="F893" i="14"/>
  <c r="B894" i="14"/>
  <c r="D894" i="14"/>
  <c r="E894" i="14"/>
  <c r="F894" i="14"/>
  <c r="B895" i="14"/>
  <c r="C895" i="14"/>
  <c r="D895" i="14"/>
  <c r="E895" i="14"/>
  <c r="F895" i="14"/>
  <c r="B896" i="14"/>
  <c r="C896" i="14"/>
  <c r="D896" i="14"/>
  <c r="E896" i="14"/>
  <c r="F896" i="14"/>
  <c r="B897" i="14"/>
  <c r="C897" i="14"/>
  <c r="D897" i="14"/>
  <c r="F897" i="14"/>
  <c r="B898" i="14"/>
  <c r="C898" i="14"/>
  <c r="D898" i="14"/>
  <c r="F898" i="14"/>
  <c r="B899" i="14"/>
  <c r="C899" i="14"/>
  <c r="F899" i="14"/>
  <c r="C900" i="14"/>
  <c r="E900" i="14"/>
  <c r="F900" i="14"/>
  <c r="B901" i="14"/>
  <c r="C901" i="14"/>
  <c r="D901" i="14"/>
  <c r="F901" i="14"/>
  <c r="B902" i="14"/>
  <c r="C902" i="14"/>
  <c r="D902" i="14"/>
  <c r="E902" i="14"/>
  <c r="F902" i="14"/>
  <c r="B903" i="14"/>
  <c r="C903" i="14"/>
  <c r="D903" i="14"/>
  <c r="F903" i="14"/>
  <c r="B904" i="14"/>
  <c r="C904" i="14"/>
  <c r="D904" i="14"/>
  <c r="E904" i="14"/>
  <c r="F904" i="14"/>
  <c r="B905" i="14"/>
  <c r="D905" i="14"/>
  <c r="F905" i="14"/>
  <c r="B906" i="14"/>
  <c r="C906" i="14"/>
  <c r="D906" i="14"/>
  <c r="E906" i="14"/>
  <c r="F906" i="14"/>
  <c r="B907" i="14"/>
  <c r="C907" i="14"/>
  <c r="D907" i="14"/>
  <c r="E907" i="14"/>
  <c r="F907" i="14"/>
  <c r="B908" i="14"/>
  <c r="C908" i="14"/>
  <c r="D908" i="14"/>
  <c r="E908" i="14"/>
  <c r="F908" i="14"/>
  <c r="B909" i="14"/>
  <c r="C909" i="14"/>
  <c r="D909" i="14"/>
  <c r="E909" i="14"/>
  <c r="F909" i="14"/>
  <c r="B910" i="14"/>
  <c r="C910" i="14"/>
  <c r="E910" i="14"/>
  <c r="F910" i="14"/>
  <c r="B911" i="14"/>
  <c r="C911" i="14"/>
  <c r="D911" i="14"/>
  <c r="E911" i="14"/>
  <c r="F911" i="14"/>
  <c r="C912" i="14"/>
  <c r="D912" i="14"/>
  <c r="F912" i="14"/>
  <c r="B913" i="14"/>
  <c r="C913" i="14"/>
  <c r="D913" i="14"/>
  <c r="E913" i="14"/>
  <c r="F913" i="14"/>
  <c r="G913" i="14"/>
  <c r="B914" i="14"/>
  <c r="C914" i="14"/>
  <c r="D914" i="14"/>
  <c r="F914" i="14"/>
  <c r="B915" i="14"/>
  <c r="C915" i="14"/>
  <c r="D915" i="14"/>
  <c r="F915" i="14"/>
  <c r="B916" i="14"/>
  <c r="C916" i="14"/>
  <c r="D916" i="14"/>
  <c r="F916" i="14"/>
  <c r="B917" i="14"/>
  <c r="D917" i="14"/>
  <c r="E917" i="14"/>
  <c r="F917" i="14"/>
  <c r="G917" i="14"/>
  <c r="B918" i="14"/>
  <c r="C918" i="14"/>
  <c r="D918" i="14"/>
  <c r="E918" i="14"/>
  <c r="F918" i="14"/>
  <c r="B919" i="14"/>
  <c r="C919" i="14"/>
  <c r="D919" i="14"/>
  <c r="E919" i="14"/>
  <c r="F919" i="14"/>
  <c r="G919" i="14"/>
  <c r="B920" i="14"/>
  <c r="C920" i="14"/>
  <c r="D920" i="14"/>
  <c r="E920" i="14"/>
  <c r="F920" i="14"/>
  <c r="B921" i="14"/>
  <c r="C921" i="14"/>
  <c r="D921" i="14"/>
  <c r="E921" i="14"/>
  <c r="F921" i="14"/>
  <c r="C922" i="14"/>
  <c r="E922" i="14"/>
  <c r="F922" i="14"/>
  <c r="G922" i="14"/>
  <c r="B923" i="14"/>
  <c r="C923" i="14"/>
  <c r="D923" i="14"/>
  <c r="F923" i="14"/>
  <c r="B924" i="14"/>
  <c r="C924" i="14"/>
  <c r="D924" i="14"/>
  <c r="E924" i="14"/>
  <c r="F924" i="14"/>
  <c r="G924" i="14"/>
  <c r="B925" i="14"/>
  <c r="C925" i="14"/>
  <c r="D925" i="14"/>
  <c r="F925" i="14"/>
  <c r="B926" i="14"/>
  <c r="C926" i="14"/>
  <c r="D926" i="14"/>
  <c r="E926" i="14"/>
  <c r="F926" i="14"/>
  <c r="G926" i="14"/>
  <c r="B927" i="14"/>
  <c r="D927" i="14"/>
  <c r="F927" i="14"/>
  <c r="B928" i="14"/>
  <c r="C928" i="14"/>
  <c r="D928" i="14"/>
  <c r="E928" i="14"/>
  <c r="F928" i="14"/>
  <c r="G928" i="14"/>
  <c r="B929" i="14"/>
  <c r="C929" i="14"/>
  <c r="D929" i="14"/>
  <c r="F929" i="14"/>
  <c r="B930" i="14"/>
  <c r="C930" i="14"/>
  <c r="D930" i="14"/>
  <c r="E930" i="14"/>
  <c r="F930" i="14"/>
  <c r="B931" i="14"/>
  <c r="C931" i="14"/>
  <c r="D931" i="14"/>
  <c r="E931" i="14"/>
  <c r="F931" i="14"/>
  <c r="B932" i="14"/>
  <c r="C932" i="14"/>
  <c r="E932" i="14"/>
  <c r="F932" i="14"/>
  <c r="B933" i="14"/>
  <c r="C933" i="14"/>
  <c r="D933" i="14"/>
  <c r="E933" i="14"/>
  <c r="F933" i="14"/>
  <c r="G933" i="14"/>
  <c r="C934" i="14"/>
  <c r="D934" i="14"/>
  <c r="E934" i="14"/>
  <c r="F934" i="14"/>
  <c r="B935" i="14"/>
  <c r="C935" i="14"/>
  <c r="D935" i="14"/>
  <c r="E935" i="14"/>
  <c r="F935" i="14"/>
  <c r="B936" i="14"/>
  <c r="C936" i="14"/>
  <c r="D936" i="14"/>
  <c r="F936" i="14"/>
  <c r="B937" i="14"/>
  <c r="C937" i="14"/>
  <c r="D937" i="14"/>
  <c r="F937" i="14"/>
  <c r="B938" i="14"/>
  <c r="C938" i="14"/>
  <c r="D938" i="14"/>
  <c r="F938" i="14"/>
  <c r="B939" i="14"/>
  <c r="D939" i="14"/>
  <c r="E939" i="14"/>
  <c r="F939" i="14"/>
  <c r="B940" i="14"/>
  <c r="C940" i="14"/>
  <c r="D940" i="14"/>
  <c r="F940" i="14"/>
  <c r="G940" i="14"/>
  <c r="B941" i="14"/>
  <c r="C941" i="14"/>
  <c r="D941" i="14"/>
  <c r="E941" i="14"/>
  <c r="F941" i="14"/>
  <c r="B942" i="14"/>
  <c r="C942" i="14"/>
  <c r="D942" i="14"/>
  <c r="E942" i="14"/>
  <c r="F942" i="14"/>
  <c r="B943" i="14"/>
  <c r="C943" i="14"/>
  <c r="D943" i="14"/>
  <c r="E943" i="14"/>
  <c r="F943" i="14"/>
  <c r="C944" i="14"/>
  <c r="E944" i="14"/>
  <c r="F944" i="14"/>
  <c r="B945" i="14"/>
  <c r="C945" i="14"/>
  <c r="D945" i="14"/>
  <c r="E945" i="14"/>
  <c r="F945" i="14"/>
  <c r="B946" i="14"/>
  <c r="C946" i="14"/>
  <c r="D946" i="14"/>
  <c r="E946" i="14"/>
  <c r="F946" i="14"/>
  <c r="B947" i="14"/>
  <c r="C947" i="14"/>
  <c r="D947" i="14"/>
  <c r="F947" i="14"/>
  <c r="B948" i="14"/>
  <c r="C948" i="14"/>
  <c r="D948" i="14"/>
  <c r="E948" i="14"/>
  <c r="F948" i="14"/>
  <c r="G948" i="14"/>
  <c r="B949" i="14"/>
  <c r="D949" i="14"/>
  <c r="F949" i="14"/>
  <c r="B950" i="14"/>
  <c r="C950" i="14"/>
  <c r="D950" i="14"/>
  <c r="E950" i="14"/>
  <c r="F950" i="14"/>
  <c r="G950" i="14"/>
  <c r="B951" i="14"/>
  <c r="C951" i="14"/>
  <c r="D951" i="14"/>
  <c r="F951" i="14"/>
  <c r="B952" i="14"/>
  <c r="C952" i="14"/>
  <c r="D952" i="14"/>
  <c r="E952" i="14"/>
  <c r="F952" i="14"/>
  <c r="G952" i="14"/>
  <c r="B953" i="14"/>
  <c r="C953" i="14"/>
  <c r="D953" i="14"/>
  <c r="F953" i="14"/>
  <c r="B954" i="14"/>
  <c r="C954" i="14"/>
  <c r="E954" i="14"/>
  <c r="F954" i="14"/>
  <c r="G954" i="14"/>
  <c r="B955" i="14"/>
  <c r="C955" i="14"/>
  <c r="D955" i="14"/>
  <c r="E955" i="14"/>
  <c r="F955" i="14"/>
  <c r="C956" i="14"/>
  <c r="D956" i="14"/>
  <c r="E956" i="14"/>
  <c r="F956" i="14"/>
  <c r="B957" i="14"/>
  <c r="C957" i="14"/>
  <c r="D957" i="14"/>
  <c r="E957" i="14"/>
  <c r="F957" i="14"/>
  <c r="G957" i="14"/>
  <c r="B958" i="14"/>
  <c r="C958" i="14"/>
  <c r="D958" i="14"/>
  <c r="E958" i="14"/>
  <c r="F958" i="14"/>
  <c r="B959" i="14"/>
  <c r="C959" i="14"/>
  <c r="D959" i="14"/>
  <c r="F959" i="14"/>
  <c r="B960" i="14"/>
  <c r="C960" i="14"/>
  <c r="D960" i="14"/>
  <c r="F960" i="14"/>
  <c r="B961" i="14"/>
  <c r="D961" i="14"/>
  <c r="E961" i="14"/>
  <c r="F961" i="14"/>
  <c r="B962" i="14"/>
  <c r="C962" i="14"/>
  <c r="D962" i="14"/>
  <c r="F962" i="14"/>
  <c r="B963" i="14"/>
  <c r="C963" i="14"/>
  <c r="D963" i="14"/>
  <c r="E963" i="14"/>
  <c r="F963" i="14"/>
  <c r="B964" i="14"/>
  <c r="C964" i="14"/>
  <c r="D964" i="14"/>
  <c r="F964" i="14"/>
  <c r="B965" i="14"/>
  <c r="C965" i="14"/>
  <c r="D965" i="14"/>
  <c r="E965" i="14"/>
  <c r="F965" i="14"/>
  <c r="C966" i="14"/>
  <c r="E966" i="14"/>
  <c r="F966" i="14"/>
  <c r="B967" i="14"/>
  <c r="C967" i="14"/>
  <c r="D967" i="14"/>
  <c r="E967" i="14"/>
  <c r="F967" i="14"/>
  <c r="G967" i="14"/>
  <c r="B968" i="14"/>
  <c r="C968" i="14"/>
  <c r="D968" i="14"/>
  <c r="E968" i="14"/>
  <c r="F968" i="14"/>
  <c r="B969" i="14"/>
  <c r="C969" i="14"/>
  <c r="D969" i="14"/>
  <c r="E969" i="14"/>
  <c r="F969" i="14"/>
  <c r="B970" i="14"/>
  <c r="C970" i="14"/>
  <c r="D970" i="14"/>
  <c r="E970" i="14"/>
  <c r="F970" i="14"/>
  <c r="G970" i="14"/>
  <c r="B971" i="14"/>
  <c r="D971" i="14"/>
  <c r="F971" i="14"/>
  <c r="B972" i="14"/>
  <c r="C972" i="14"/>
  <c r="D972" i="14"/>
  <c r="E972" i="14"/>
  <c r="F972" i="14"/>
  <c r="G972" i="14"/>
  <c r="B973" i="14"/>
  <c r="C973" i="14"/>
  <c r="D973" i="14"/>
  <c r="F973" i="14"/>
  <c r="B974" i="14"/>
  <c r="C974" i="14"/>
  <c r="D974" i="14"/>
  <c r="E974" i="14"/>
  <c r="F974" i="14"/>
  <c r="G974" i="14"/>
  <c r="B975" i="14"/>
  <c r="C975" i="14"/>
  <c r="D975" i="14"/>
  <c r="E975" i="14"/>
  <c r="F975" i="14"/>
  <c r="B976" i="14"/>
  <c r="C976" i="14"/>
  <c r="E976" i="14"/>
  <c r="F976" i="14"/>
  <c r="G976" i="14"/>
  <c r="B977" i="14"/>
  <c r="C977" i="14"/>
  <c r="D977" i="14"/>
  <c r="E977" i="14"/>
  <c r="F977" i="14"/>
  <c r="B978" i="14"/>
  <c r="C978" i="14"/>
  <c r="D978" i="14"/>
  <c r="E978" i="14"/>
  <c r="F978" i="14"/>
  <c r="B979" i="14"/>
  <c r="C979" i="14"/>
  <c r="D979" i="14"/>
  <c r="E979" i="14"/>
  <c r="F979" i="14"/>
  <c r="B980" i="14"/>
  <c r="C980" i="14"/>
  <c r="D980" i="14"/>
  <c r="F980" i="14"/>
  <c r="B981" i="14"/>
  <c r="C981" i="14"/>
  <c r="D981" i="14"/>
  <c r="F981" i="14"/>
  <c r="B982" i="14"/>
  <c r="C982" i="14"/>
  <c r="D982" i="14"/>
  <c r="E982" i="14"/>
  <c r="F982" i="14"/>
  <c r="G982" i="14"/>
  <c r="B983" i="14"/>
  <c r="C983" i="14"/>
  <c r="D983" i="14"/>
  <c r="E983" i="14"/>
  <c r="F983" i="14"/>
  <c r="B984" i="14"/>
  <c r="C984" i="14"/>
  <c r="D984" i="14"/>
  <c r="E984" i="14"/>
  <c r="F984" i="14"/>
  <c r="B985" i="14"/>
  <c r="C985" i="14"/>
  <c r="D985" i="14"/>
  <c r="E985" i="14"/>
  <c r="F985" i="14"/>
  <c r="B986" i="14"/>
  <c r="C986" i="14"/>
  <c r="D986" i="14"/>
  <c r="E986" i="14"/>
  <c r="F986" i="14"/>
  <c r="B987" i="14"/>
  <c r="C987" i="14"/>
  <c r="D987" i="14"/>
  <c r="F987" i="14"/>
  <c r="C988" i="14"/>
  <c r="D988" i="14"/>
  <c r="E988" i="14"/>
  <c r="F988" i="14"/>
  <c r="B989" i="14"/>
  <c r="C989" i="14"/>
  <c r="D989" i="14"/>
  <c r="E989" i="14"/>
  <c r="F989" i="14"/>
  <c r="G989" i="14"/>
  <c r="B990" i="14"/>
  <c r="C990" i="14"/>
  <c r="D990" i="14"/>
  <c r="E990" i="14"/>
  <c r="F990" i="14"/>
  <c r="G990" i="14"/>
  <c r="B991" i="14"/>
  <c r="C991" i="14"/>
  <c r="D991" i="14"/>
  <c r="E991" i="14"/>
  <c r="F991" i="14"/>
  <c r="B992" i="14"/>
  <c r="C992" i="14"/>
  <c r="D992" i="14"/>
  <c r="E992" i="14"/>
  <c r="F992" i="14"/>
  <c r="B993" i="14"/>
  <c r="D993" i="14"/>
  <c r="E993" i="14"/>
  <c r="F993" i="14"/>
  <c r="B994" i="14"/>
  <c r="C994" i="14"/>
  <c r="D994" i="14"/>
  <c r="F994" i="14"/>
  <c r="B995" i="14"/>
  <c r="C995" i="14"/>
  <c r="D995" i="14"/>
  <c r="E995" i="14"/>
  <c r="F995" i="14"/>
  <c r="G995" i="14"/>
  <c r="B996" i="14"/>
  <c r="C996" i="14"/>
  <c r="D996" i="14"/>
  <c r="F996" i="14"/>
  <c r="G996" i="14"/>
  <c r="B997" i="14"/>
  <c r="C997" i="14"/>
  <c r="D997" i="14"/>
  <c r="E997" i="14"/>
  <c r="F997" i="14"/>
  <c r="B998" i="14"/>
  <c r="C998" i="14"/>
  <c r="E998" i="14"/>
  <c r="F998" i="14"/>
  <c r="B999" i="14"/>
  <c r="C999" i="14"/>
  <c r="D999" i="14"/>
  <c r="E999" i="14"/>
  <c r="F999" i="14"/>
  <c r="G999" i="14"/>
  <c r="B1000" i="14"/>
  <c r="C1000" i="14"/>
  <c r="D1000" i="14"/>
  <c r="E1000" i="14"/>
  <c r="F1000" i="14"/>
  <c r="B1001" i="14"/>
  <c r="C1001" i="14"/>
  <c r="D1001" i="14"/>
  <c r="F1001" i="14"/>
  <c r="B1002" i="14"/>
  <c r="C1002" i="14"/>
  <c r="D1002" i="14"/>
  <c r="E1002" i="14"/>
  <c r="F1002" i="14"/>
  <c r="B1003" i="14"/>
  <c r="C1003" i="14"/>
  <c r="D1003" i="14"/>
  <c r="F1003" i="14"/>
  <c r="B1004" i="14"/>
  <c r="C1004" i="14"/>
  <c r="D1004" i="14"/>
  <c r="E1004" i="14"/>
  <c r="F1004" i="14"/>
  <c r="B1005" i="14"/>
  <c r="C1005" i="14"/>
  <c r="D1005" i="14"/>
  <c r="E1005" i="14"/>
  <c r="F1005" i="14"/>
  <c r="B1006" i="14"/>
  <c r="C1006" i="14"/>
  <c r="D1006" i="14"/>
  <c r="E1006" i="14"/>
  <c r="F1006" i="14"/>
  <c r="B1007" i="14"/>
  <c r="C1007" i="14"/>
  <c r="D1007" i="14"/>
  <c r="E1007" i="14"/>
  <c r="F1007" i="14"/>
  <c r="B1008" i="14"/>
  <c r="C1008" i="14"/>
  <c r="D1008" i="14"/>
  <c r="E1008" i="14"/>
  <c r="F1008" i="14"/>
  <c r="B1009" i="14"/>
  <c r="C1009" i="14"/>
  <c r="D1009" i="14"/>
  <c r="E1009" i="14"/>
  <c r="F1009" i="14"/>
  <c r="C1010" i="14"/>
  <c r="D1010" i="14"/>
  <c r="F1010" i="14"/>
  <c r="B1011" i="14"/>
  <c r="C1011" i="14"/>
  <c r="D1011" i="14"/>
  <c r="E1011" i="14"/>
  <c r="F1011" i="14"/>
  <c r="B1012" i="14"/>
  <c r="C1012" i="14"/>
  <c r="D1012" i="14"/>
  <c r="E1012" i="14"/>
  <c r="F1012" i="14"/>
  <c r="G1012" i="14"/>
  <c r="B1013" i="14"/>
  <c r="C1013" i="14"/>
  <c r="D1013" i="14"/>
  <c r="E1013" i="14"/>
  <c r="F1013" i="14"/>
  <c r="B1014" i="14"/>
  <c r="C1014" i="14"/>
  <c r="D1014" i="14"/>
  <c r="E1014" i="14"/>
  <c r="F1014" i="14"/>
  <c r="B1015" i="14"/>
  <c r="D1015" i="14"/>
  <c r="E1015" i="14"/>
  <c r="F1015" i="14"/>
  <c r="B1016" i="14"/>
  <c r="C1016" i="14"/>
  <c r="D1016" i="14"/>
  <c r="E1016" i="14"/>
  <c r="F1016" i="14"/>
  <c r="B1017" i="14"/>
  <c r="C1017" i="14"/>
  <c r="D1017" i="14"/>
  <c r="F1017" i="14"/>
  <c r="B1018" i="14"/>
  <c r="C1018" i="14"/>
  <c r="D1018" i="14"/>
  <c r="E1018" i="14"/>
  <c r="F1018" i="14"/>
  <c r="G1018" i="14"/>
  <c r="B1019" i="14"/>
  <c r="C1019" i="14"/>
  <c r="D1019" i="14"/>
  <c r="F1019" i="14"/>
  <c r="B1020" i="14"/>
  <c r="C1020" i="14"/>
  <c r="E1020" i="14"/>
  <c r="F1020" i="14"/>
  <c r="G1020" i="14"/>
  <c r="B1021" i="14"/>
  <c r="C1021" i="14"/>
  <c r="D1021" i="14"/>
  <c r="E1021" i="14"/>
  <c r="F1021" i="14"/>
  <c r="B1022" i="14"/>
  <c r="C1022" i="14"/>
  <c r="D1022" i="14"/>
  <c r="E1022" i="14"/>
  <c r="F1022" i="14"/>
  <c r="G1022" i="14"/>
  <c r="B1023" i="14"/>
  <c r="C1023" i="14"/>
  <c r="D1023" i="14"/>
  <c r="E1023" i="14"/>
  <c r="F1023" i="14"/>
  <c r="B1024" i="14"/>
  <c r="C1024" i="14"/>
  <c r="D1024" i="14"/>
  <c r="F1024" i="14"/>
  <c r="B1025" i="14"/>
  <c r="C1025" i="14"/>
  <c r="D1025" i="14"/>
  <c r="F1025" i="14"/>
  <c r="B1026" i="14"/>
  <c r="C1026" i="14"/>
  <c r="D1026" i="14"/>
  <c r="F1026" i="14"/>
  <c r="G1026" i="14"/>
  <c r="B1027" i="14"/>
  <c r="C1027" i="14"/>
  <c r="D1027" i="14"/>
  <c r="E1027" i="14"/>
  <c r="F1027" i="14"/>
  <c r="B1028" i="14"/>
  <c r="C1028" i="14"/>
  <c r="D1028" i="14"/>
  <c r="E1028" i="14"/>
  <c r="F1028" i="14"/>
  <c r="B1029" i="14"/>
  <c r="C1029" i="14"/>
  <c r="D1029" i="14"/>
  <c r="E1029" i="14"/>
  <c r="F1029" i="14"/>
  <c r="B1030" i="14"/>
  <c r="C1030" i="14"/>
  <c r="D1030" i="14"/>
  <c r="E1030" i="14"/>
  <c r="F1030" i="14"/>
  <c r="B1031" i="14"/>
  <c r="C1031" i="14"/>
  <c r="D1031" i="14"/>
  <c r="F1031" i="14"/>
  <c r="C1032" i="14"/>
  <c r="D1032" i="14"/>
  <c r="E1032" i="14"/>
  <c r="F1032" i="14"/>
  <c r="B1033" i="14"/>
  <c r="C1033" i="14"/>
  <c r="D1033" i="14"/>
  <c r="F1033" i="14"/>
  <c r="G1033" i="14"/>
  <c r="B1034" i="14"/>
  <c r="C1034" i="14"/>
  <c r="D1034" i="14"/>
  <c r="E1034" i="14"/>
  <c r="F1034" i="14"/>
  <c r="B1035" i="14"/>
  <c r="C1035" i="14"/>
  <c r="D1035" i="14"/>
  <c r="E1035" i="14"/>
  <c r="F1035" i="14"/>
  <c r="B1036" i="14"/>
  <c r="C1036" i="14"/>
  <c r="D1036" i="14"/>
  <c r="E1036" i="14"/>
  <c r="F1036" i="14"/>
  <c r="G1036" i="14"/>
  <c r="B1037" i="14"/>
  <c r="D1037" i="14"/>
  <c r="E1037" i="14"/>
  <c r="F1037" i="14"/>
  <c r="B1038" i="14"/>
  <c r="C1038" i="14"/>
  <c r="D1038" i="14"/>
  <c r="E1038" i="14"/>
  <c r="F1038" i="14"/>
  <c r="D9" i="20"/>
  <c r="E9" i="20"/>
  <c r="D10" i="20"/>
  <c r="H10" i="20" s="1"/>
  <c r="E10" i="20"/>
  <c r="D11" i="20"/>
  <c r="E11" i="20"/>
  <c r="H11" i="20"/>
  <c r="D12" i="20"/>
  <c r="E12" i="20"/>
  <c r="H12" i="20"/>
  <c r="D13" i="20"/>
  <c r="B9" i="20"/>
  <c r="B10" i="20"/>
  <c r="B11" i="20"/>
  <c r="B12" i="20"/>
  <c r="B13" i="20"/>
  <c r="C16" i="20"/>
  <c r="J4" i="22"/>
  <c r="M4" i="22"/>
  <c r="J5" i="22"/>
  <c r="G10" i="20" s="1"/>
  <c r="M5" i="22"/>
  <c r="J6" i="22"/>
  <c r="G11" i="20" s="1"/>
  <c r="M6" i="22"/>
  <c r="M7" i="22"/>
  <c r="M8" i="22"/>
  <c r="X9" i="16"/>
  <c r="X10" i="16"/>
  <c r="X11" i="16"/>
  <c r="X12" i="16"/>
  <c r="X13" i="16"/>
  <c r="X14" i="16"/>
  <c r="X15" i="16"/>
  <c r="X16" i="16"/>
  <c r="C3" i="15"/>
  <c r="B12" i="14" s="1"/>
  <c r="G207" i="14" s="1"/>
  <c r="C4" i="15"/>
  <c r="C5" i="15"/>
  <c r="G4" i="22" s="1"/>
  <c r="E23" i="12" l="1"/>
  <c r="F23" i="12"/>
  <c r="H8" i="22"/>
  <c r="H7" i="22"/>
  <c r="F12" i="20" s="1"/>
  <c r="I12" i="20" s="1"/>
  <c r="H4" i="22"/>
  <c r="H6" i="22"/>
  <c r="F11" i="20" s="1"/>
  <c r="I11" i="20" s="1"/>
  <c r="H5" i="22"/>
  <c r="F10" i="20" s="1"/>
  <c r="I10" i="20" s="1"/>
  <c r="D3" i="12"/>
  <c r="F3" i="12"/>
  <c r="C11" i="12"/>
  <c r="C12" i="12" s="1"/>
  <c r="H3" i="1"/>
  <c r="H13" i="20"/>
  <c r="E13" i="20"/>
  <c r="C19" i="20"/>
  <c r="H5" i="1"/>
  <c r="G1028" i="14"/>
  <c r="G900" i="14"/>
  <c r="G702" i="14"/>
  <c r="G558" i="14"/>
  <c r="G813" i="14"/>
  <c r="G735" i="14"/>
  <c r="G984" i="14"/>
  <c r="G973" i="14"/>
  <c r="G884" i="14"/>
  <c r="G594" i="14"/>
  <c r="G956" i="14"/>
  <c r="G904" i="14"/>
  <c r="G865" i="14"/>
  <c r="G768" i="14"/>
  <c r="G714" i="14"/>
  <c r="G668" i="14"/>
  <c r="G1030" i="14"/>
  <c r="G932" i="14"/>
  <c r="G850" i="14"/>
  <c r="G779" i="14"/>
  <c r="G744" i="14"/>
  <c r="G631" i="14"/>
  <c r="G1037" i="14"/>
  <c r="G963" i="14"/>
  <c r="G877" i="14"/>
  <c r="G750" i="14"/>
  <c r="G695" i="14"/>
  <c r="G692" i="14"/>
  <c r="G651" i="14"/>
  <c r="G644" i="14"/>
  <c r="G621" i="14"/>
  <c r="G615" i="14"/>
  <c r="G425" i="14"/>
  <c r="G388" i="14"/>
  <c r="G365" i="14"/>
  <c r="G223" i="14"/>
  <c r="B13" i="14"/>
  <c r="J7" i="22"/>
  <c r="G12" i="20" s="1"/>
  <c r="J8" i="22"/>
  <c r="G13" i="20" s="1"/>
  <c r="H4" i="1"/>
  <c r="G966" i="14"/>
  <c r="G860" i="14"/>
  <c r="G457" i="14"/>
  <c r="E22" i="12"/>
  <c r="F22" i="12"/>
  <c r="G759" i="14"/>
  <c r="G531" i="14"/>
  <c r="Z13" i="3"/>
  <c r="C10" i="1"/>
  <c r="C11" i="1" s="1"/>
  <c r="G2" i="1"/>
  <c r="C13" i="1"/>
  <c r="Z11" i="3"/>
  <c r="Z12" i="3" s="1"/>
  <c r="G909" i="14"/>
  <c r="G902" i="14"/>
  <c r="G818" i="14"/>
  <c r="G641" i="14"/>
  <c r="G523" i="14"/>
  <c r="G374" i="14"/>
  <c r="G201" i="14"/>
  <c r="G944" i="14"/>
  <c r="G916" i="14"/>
  <c r="G855" i="14"/>
  <c r="G797" i="14"/>
  <c r="G557" i="14"/>
  <c r="G266" i="14"/>
  <c r="G246" i="14"/>
  <c r="G100" i="14"/>
  <c r="F9" i="20"/>
  <c r="G1014" i="14"/>
  <c r="G1007" i="14"/>
  <c r="C4" i="20"/>
  <c r="C5" i="20" s="1"/>
  <c r="C18" i="20" s="1"/>
  <c r="G9" i="20"/>
  <c r="H9" i="20"/>
  <c r="G968" i="14"/>
  <c r="G961" i="14"/>
  <c r="G906" i="14"/>
  <c r="G791" i="14"/>
  <c r="G788" i="14"/>
  <c r="G608" i="14"/>
  <c r="G605" i="14"/>
  <c r="G549" i="14"/>
  <c r="G541" i="14"/>
  <c r="G538" i="14"/>
  <c r="G439" i="14"/>
  <c r="G1025" i="14"/>
  <c r="G1009" i="14"/>
  <c r="G986" i="14"/>
  <c r="G965" i="14"/>
  <c r="G911" i="14"/>
  <c r="G894" i="14"/>
  <c r="G886" i="14"/>
  <c r="G879" i="14"/>
  <c r="G828" i="14"/>
  <c r="G820" i="14"/>
  <c r="G805" i="14"/>
  <c r="G720" i="14"/>
  <c r="G704" i="14"/>
  <c r="G576" i="14"/>
  <c r="G564" i="14"/>
  <c r="G482" i="14"/>
  <c r="G415" i="14"/>
  <c r="G392" i="14"/>
  <c r="G286" i="14"/>
  <c r="G46" i="14"/>
  <c r="G68" i="14"/>
  <c r="G90" i="14"/>
  <c r="G112" i="14"/>
  <c r="G134" i="14"/>
  <c r="G156" i="14"/>
  <c r="G41" i="14"/>
  <c r="G63" i="14"/>
  <c r="G85" i="14"/>
  <c r="G107" i="14"/>
  <c r="G129" i="14"/>
  <c r="G151" i="14"/>
  <c r="G58" i="14"/>
  <c r="G80" i="14"/>
  <c r="G102" i="14"/>
  <c r="G124" i="14"/>
  <c r="G146" i="14"/>
  <c r="G168" i="14"/>
  <c r="G53" i="14"/>
  <c r="G73" i="14"/>
  <c r="G79" i="14"/>
  <c r="G122" i="14"/>
  <c r="G128" i="14"/>
  <c r="G171" i="14"/>
  <c r="G188" i="14"/>
  <c r="G210" i="14"/>
  <c r="G232" i="14"/>
  <c r="G254" i="14"/>
  <c r="G276" i="14"/>
  <c r="G55" i="14"/>
  <c r="G57" i="14"/>
  <c r="G59" i="14"/>
  <c r="G61" i="14"/>
  <c r="G81" i="14"/>
  <c r="G87" i="14"/>
  <c r="G130" i="14"/>
  <c r="G136" i="14"/>
  <c r="G183" i="14"/>
  <c r="G83" i="14"/>
  <c r="G89" i="14"/>
  <c r="G132" i="14"/>
  <c r="G138" i="14"/>
  <c r="G93" i="14"/>
  <c r="G99" i="14"/>
  <c r="G142" i="14"/>
  <c r="G148" i="14"/>
  <c r="G190" i="14"/>
  <c r="G47" i="14"/>
  <c r="G67" i="14"/>
  <c r="G72" i="14"/>
  <c r="G110" i="14"/>
  <c r="G115" i="14"/>
  <c r="G194" i="14"/>
  <c r="G221" i="14"/>
  <c r="G52" i="14"/>
  <c r="G84" i="14"/>
  <c r="G127" i="14"/>
  <c r="G163" i="14"/>
  <c r="G196" i="14"/>
  <c r="G214" i="14"/>
  <c r="G96" i="14"/>
  <c r="G101" i="14"/>
  <c r="G139" i="14"/>
  <c r="G144" i="14"/>
  <c r="G43" i="14"/>
  <c r="G66" i="14"/>
  <c r="G91" i="14"/>
  <c r="G94" i="14"/>
  <c r="G116" i="14"/>
  <c r="G119" i="14"/>
  <c r="G141" i="14"/>
  <c r="G166" i="14"/>
  <c r="G176" i="14"/>
  <c r="G185" i="14"/>
  <c r="G240" i="14"/>
  <c r="G260" i="14"/>
  <c r="G297" i="14"/>
  <c r="G319" i="14"/>
  <c r="G97" i="14"/>
  <c r="G105" i="14"/>
  <c r="G229" i="14"/>
  <c r="G253" i="14"/>
  <c r="G292" i="14"/>
  <c r="G314" i="14"/>
  <c r="G336" i="14"/>
  <c r="G358" i="14"/>
  <c r="G40" i="14"/>
  <c r="G108" i="14"/>
  <c r="G111" i="14"/>
  <c r="G133" i="14"/>
  <c r="G155" i="14"/>
  <c r="G158" i="14"/>
  <c r="G200" i="14"/>
  <c r="G202" i="14"/>
  <c r="G242" i="14"/>
  <c r="G69" i="14"/>
  <c r="G162" i="14"/>
  <c r="G177" i="14"/>
  <c r="G199" i="14"/>
  <c r="G219" i="14"/>
  <c r="G228" i="14"/>
  <c r="G265" i="14"/>
  <c r="G305" i="14"/>
  <c r="G329" i="14"/>
  <c r="G363" i="14"/>
  <c r="G387" i="14"/>
  <c r="G409" i="14"/>
  <c r="G431" i="14"/>
  <c r="G51" i="14"/>
  <c r="G106" i="14"/>
  <c r="G149" i="14"/>
  <c r="G165" i="14"/>
  <c r="G192" i="14"/>
  <c r="G208" i="14"/>
  <c r="G226" i="14"/>
  <c r="G247" i="14"/>
  <c r="G267" i="14"/>
  <c r="G269" i="14"/>
  <c r="G271" i="14"/>
  <c r="G294" i="14"/>
  <c r="G318" i="14"/>
  <c r="G331" i="14"/>
  <c r="G349" i="14"/>
  <c r="G356" i="14"/>
  <c r="G382" i="14"/>
  <c r="G404" i="14"/>
  <c r="G426" i="14"/>
  <c r="G62" i="14"/>
  <c r="G123" i="14"/>
  <c r="G182" i="14"/>
  <c r="G187" i="14"/>
  <c r="G197" i="14"/>
  <c r="G217" i="14"/>
  <c r="G241" i="14"/>
  <c r="G243" i="14"/>
  <c r="G245" i="14"/>
  <c r="G273" i="14"/>
  <c r="G307" i="14"/>
  <c r="G44" i="14"/>
  <c r="G48" i="14"/>
  <c r="G86" i="14"/>
  <c r="G103" i="14"/>
  <c r="G126" i="14"/>
  <c r="G150" i="14"/>
  <c r="G153" i="14"/>
  <c r="G159" i="14"/>
  <c r="G206" i="14"/>
  <c r="G224" i="14"/>
  <c r="G239" i="14"/>
  <c r="G275" i="14"/>
  <c r="G74" i="14"/>
  <c r="G173" i="14"/>
  <c r="G213" i="14"/>
  <c r="G293" i="14"/>
  <c r="G295" i="14"/>
  <c r="G352" i="14"/>
  <c r="G373" i="14"/>
  <c r="G397" i="14"/>
  <c r="G453" i="14"/>
  <c r="G475" i="14"/>
  <c r="G497" i="14"/>
  <c r="G95" i="14"/>
  <c r="G131" i="14"/>
  <c r="G147" i="14"/>
  <c r="G191" i="14"/>
  <c r="G216" i="14"/>
  <c r="G234" i="14"/>
  <c r="G237" i="14"/>
  <c r="G282" i="14"/>
  <c r="G291" i="14"/>
  <c r="G143" i="14"/>
  <c r="G205" i="14"/>
  <c r="G249" i="14"/>
  <c r="G306" i="14"/>
  <c r="G308" i="14"/>
  <c r="G312" i="14"/>
  <c r="G354" i="14"/>
  <c r="G75" i="14"/>
  <c r="G209" i="14"/>
  <c r="G212" i="14"/>
  <c r="G261" i="14"/>
  <c r="G277" i="14"/>
  <c r="G302" i="14"/>
  <c r="G309" i="14"/>
  <c r="G346" i="14"/>
  <c r="G359" i="14"/>
  <c r="G391" i="14"/>
  <c r="G414" i="14"/>
  <c r="G418" i="14"/>
  <c r="G462" i="14"/>
  <c r="G98" i="14"/>
  <c r="G230" i="14"/>
  <c r="G256" i="14"/>
  <c r="G285" i="14"/>
  <c r="G335" i="14"/>
  <c r="G355" i="14"/>
  <c r="G357" i="14"/>
  <c r="G393" i="14"/>
  <c r="G420" i="14"/>
  <c r="G437" i="14"/>
  <c r="G455" i="14"/>
  <c r="G485" i="14"/>
  <c r="G506" i="14"/>
  <c r="G56" i="14"/>
  <c r="G140" i="14"/>
  <c r="G161" i="14"/>
  <c r="G170" i="14"/>
  <c r="G203" i="14"/>
  <c r="G222" i="14"/>
  <c r="G272" i="14"/>
  <c r="G280" i="14"/>
  <c r="G321" i="14"/>
  <c r="G328" i="14"/>
  <c r="G344" i="14"/>
  <c r="G353" i="14"/>
  <c r="G137" i="14"/>
  <c r="G152" i="14"/>
  <c r="G157" i="14"/>
  <c r="G195" i="14"/>
  <c r="G255" i="14"/>
  <c r="G258" i="14"/>
  <c r="G42" i="14"/>
  <c r="G64" i="14"/>
  <c r="G179" i="14"/>
  <c r="G310" i="14"/>
  <c r="G369" i="14"/>
  <c r="G384" i="14"/>
  <c r="G407" i="14"/>
  <c r="G454" i="14"/>
  <c r="G481" i="14"/>
  <c r="G494" i="14"/>
  <c r="G519" i="14"/>
  <c r="G526" i="14"/>
  <c r="G548" i="14"/>
  <c r="G570" i="14"/>
  <c r="G288" i="14"/>
  <c r="G299" i="14"/>
  <c r="G334" i="14"/>
  <c r="G362" i="14"/>
  <c r="G403" i="14"/>
  <c r="G405" i="14"/>
  <c r="G512" i="14"/>
  <c r="G543" i="14"/>
  <c r="G60" i="14"/>
  <c r="G76" i="14"/>
  <c r="G135" i="14"/>
  <c r="G178" i="14"/>
  <c r="G215" i="14"/>
  <c r="G270" i="14"/>
  <c r="G287" i="14"/>
  <c r="G290" i="14"/>
  <c r="G343" i="14"/>
  <c r="G411" i="14"/>
  <c r="G436" i="14"/>
  <c r="G445" i="14"/>
  <c r="G449" i="14"/>
  <c r="G464" i="14"/>
  <c r="G487" i="14"/>
  <c r="G489" i="14"/>
  <c r="G491" i="14"/>
  <c r="G524" i="14"/>
  <c r="G577" i="14"/>
  <c r="G584" i="14"/>
  <c r="G606" i="14"/>
  <c r="G628" i="14"/>
  <c r="G650" i="14"/>
  <c r="G672" i="14"/>
  <c r="G694" i="14"/>
  <c r="G716" i="14"/>
  <c r="G738" i="14"/>
  <c r="G760" i="14"/>
  <c r="G782" i="14"/>
  <c r="G804" i="14"/>
  <c r="G826" i="14"/>
  <c r="G848" i="14"/>
  <c r="G870" i="14"/>
  <c r="G892" i="14"/>
  <c r="G70" i="14"/>
  <c r="G227" i="14"/>
  <c r="G263" i="14"/>
  <c r="G300" i="14"/>
  <c r="G320" i="14"/>
  <c r="G326" i="14"/>
  <c r="G386" i="14"/>
  <c r="G493" i="14"/>
  <c r="G495" i="14"/>
  <c r="G499" i="14"/>
  <c r="G501" i="14"/>
  <c r="G528" i="14"/>
  <c r="G539" i="14"/>
  <c r="G552" i="14"/>
  <c r="G601" i="14"/>
  <c r="G623" i="14"/>
  <c r="G645" i="14"/>
  <c r="G667" i="14"/>
  <c r="G689" i="14"/>
  <c r="G711" i="14"/>
  <c r="G82" i="14"/>
  <c r="G164" i="14"/>
  <c r="G169" i="14"/>
  <c r="G220" i="14"/>
  <c r="G231" i="14"/>
  <c r="G238" i="14"/>
  <c r="G370" i="14"/>
  <c r="G377" i="14"/>
  <c r="G402" i="14"/>
  <c r="G416" i="14"/>
  <c r="G427" i="14"/>
  <c r="G434" i="14"/>
  <c r="G443" i="14"/>
  <c r="G483" i="14"/>
  <c r="G503" i="14"/>
  <c r="G505" i="14"/>
  <c r="G563" i="14"/>
  <c r="G596" i="14"/>
  <c r="G618" i="14"/>
  <c r="G640" i="14"/>
  <c r="G662" i="14"/>
  <c r="G684" i="14"/>
  <c r="G45" i="14"/>
  <c r="G244" i="14"/>
  <c r="G325" i="14"/>
  <c r="G366" i="14"/>
  <c r="G419" i="14"/>
  <c r="G459" i="14"/>
  <c r="G490" i="14"/>
  <c r="G559" i="14"/>
  <c r="G561" i="14"/>
  <c r="G595" i="14"/>
  <c r="G653" i="14"/>
  <c r="G657" i="14"/>
  <c r="G682" i="14"/>
  <c r="G686" i="14"/>
  <c r="G723" i="14"/>
  <c r="G753" i="14"/>
  <c r="G776" i="14"/>
  <c r="G783" i="14"/>
  <c r="G806" i="14"/>
  <c r="G836" i="14"/>
  <c r="G859" i="14"/>
  <c r="G866" i="14"/>
  <c r="G882" i="14"/>
  <c r="G889" i="14"/>
  <c r="G903" i="14"/>
  <c r="G925" i="14"/>
  <c r="G947" i="14"/>
  <c r="G969" i="14"/>
  <c r="G991" i="14"/>
  <c r="G1013" i="14"/>
  <c r="G1035" i="14"/>
  <c r="G109" i="14"/>
  <c r="G121" i="14"/>
  <c r="G284" i="14"/>
  <c r="G88" i="14"/>
  <c r="G167" i="14"/>
  <c r="G322" i="14"/>
  <c r="G345" i="14"/>
  <c r="G348" i="14"/>
  <c r="G442" i="14"/>
  <c r="G452" i="14"/>
  <c r="G469" i="14"/>
  <c r="G534" i="14"/>
  <c r="G555" i="14"/>
  <c r="G597" i="14"/>
  <c r="G626" i="14"/>
  <c r="G632" i="14"/>
  <c r="G661" i="14"/>
  <c r="G707" i="14"/>
  <c r="G732" i="14"/>
  <c r="G739" i="14"/>
  <c r="G762" i="14"/>
  <c r="G792" i="14"/>
  <c r="G815" i="14"/>
  <c r="G822" i="14"/>
  <c r="G838" i="14"/>
  <c r="G845" i="14"/>
  <c r="G875" i="14"/>
  <c r="G898" i="14"/>
  <c r="G915" i="14"/>
  <c r="G937" i="14"/>
  <c r="G959" i="14"/>
  <c r="G125" i="14"/>
  <c r="G174" i="14"/>
  <c r="G235" i="14"/>
  <c r="G330" i="14"/>
  <c r="G372" i="14"/>
  <c r="G375" i="14"/>
  <c r="G118" i="14"/>
  <c r="G175" i="14"/>
  <c r="G259" i="14"/>
  <c r="G289" i="14"/>
  <c r="G327" i="14"/>
  <c r="G338" i="14"/>
  <c r="G398" i="14"/>
  <c r="G412" i="14"/>
  <c r="G492" i="14"/>
  <c r="G504" i="14"/>
  <c r="G553" i="14"/>
  <c r="G560" i="14"/>
  <c r="G573" i="14"/>
  <c r="G637" i="14"/>
  <c r="G652" i="14"/>
  <c r="G673" i="14"/>
  <c r="G755" i="14"/>
  <c r="G784" i="14"/>
  <c r="G181" i="14"/>
  <c r="G186" i="14"/>
  <c r="G381" i="14"/>
  <c r="G421" i="14"/>
  <c r="G440" i="14"/>
  <c r="G480" i="14"/>
  <c r="G509" i="14"/>
  <c r="G537" i="14"/>
  <c r="G546" i="14"/>
  <c r="G551" i="14"/>
  <c r="G571" i="14"/>
  <c r="G580" i="14"/>
  <c r="G593" i="14"/>
  <c r="G612" i="14"/>
  <c r="G614" i="14"/>
  <c r="G669" i="14"/>
  <c r="G688" i="14"/>
  <c r="G690" i="14"/>
  <c r="G39" i="14"/>
  <c r="G145" i="14"/>
  <c r="G160" i="14"/>
  <c r="G236" i="14"/>
  <c r="G316" i="14"/>
  <c r="G341" i="14"/>
  <c r="G400" i="14"/>
  <c r="G441" i="14"/>
  <c r="G517" i="14"/>
  <c r="G542" i="14"/>
  <c r="G572" i="14"/>
  <c r="G579" i="14"/>
  <c r="G602" i="14"/>
  <c r="G625" i="14"/>
  <c r="G634" i="14"/>
  <c r="G709" i="14"/>
  <c r="G823" i="14"/>
  <c r="G324" i="14"/>
  <c r="G333" i="14"/>
  <c r="G371" i="14"/>
  <c r="G406" i="14"/>
  <c r="G522" i="14"/>
  <c r="G609" i="14"/>
  <c r="G643" i="14"/>
  <c r="G664" i="14"/>
  <c r="G671" i="14"/>
  <c r="G678" i="14"/>
  <c r="G687" i="14"/>
  <c r="G77" i="14"/>
  <c r="G104" i="14"/>
  <c r="G120" i="14"/>
  <c r="G257" i="14"/>
  <c r="G304" i="14"/>
  <c r="G394" i="14"/>
  <c r="G435" i="14"/>
  <c r="G488" i="14"/>
  <c r="G530" i="14"/>
  <c r="G535" i="14"/>
  <c r="G600" i="14"/>
  <c r="G50" i="14"/>
  <c r="G113" i="14"/>
  <c r="G154" i="14"/>
  <c r="G252" i="14"/>
  <c r="G378" i="14"/>
  <c r="G432" i="14"/>
  <c r="G438" i="14"/>
  <c r="G447" i="14"/>
  <c r="G450" i="14"/>
  <c r="G456" i="14"/>
  <c r="G525" i="14"/>
  <c r="G540" i="14"/>
  <c r="G545" i="14"/>
  <c r="G565" i="14"/>
  <c r="G591" i="14"/>
  <c r="G607" i="14"/>
  <c r="G648" i="14"/>
  <c r="G685" i="14"/>
  <c r="G705" i="14"/>
  <c r="G794" i="14"/>
  <c r="G796" i="14"/>
  <c r="G303" i="14"/>
  <c r="G317" i="14"/>
  <c r="G379" i="14"/>
  <c r="G390" i="14"/>
  <c r="G423" i="14"/>
  <c r="G451" i="14"/>
  <c r="G484" i="14"/>
  <c r="G500" i="14"/>
  <c r="G515" i="14"/>
  <c r="G592" i="14"/>
  <c r="G603" i="14"/>
  <c r="G677" i="14"/>
  <c r="G787" i="14"/>
  <c r="G893" i="14"/>
  <c r="G910" i="14"/>
  <c r="G921" i="14"/>
  <c r="G934" i="14"/>
  <c r="G945" i="14"/>
  <c r="G958" i="14"/>
  <c r="G985" i="14"/>
  <c r="G992" i="14"/>
  <c r="G1015" i="14"/>
  <c r="G978" i="14"/>
  <c r="G1008" i="14"/>
  <c r="G1038" i="14"/>
  <c r="G936" i="14"/>
  <c r="G949" i="14"/>
  <c r="G1001" i="14"/>
  <c r="G849" i="14"/>
  <c r="G994" i="14"/>
  <c r="G1017" i="14"/>
  <c r="G342" i="14"/>
  <c r="G364" i="14"/>
  <c r="G527" i="14"/>
  <c r="G536" i="14"/>
  <c r="G611" i="14"/>
  <c r="G683" i="14"/>
  <c r="G715" i="14"/>
  <c r="G731" i="14"/>
  <c r="G756" i="14"/>
  <c r="G765" i="14"/>
  <c r="G901" i="14"/>
  <c r="G962" i="14"/>
  <c r="G987" i="14"/>
  <c r="G1010" i="14"/>
  <c r="G189" i="14"/>
  <c r="G268" i="14"/>
  <c r="G368" i="14"/>
  <c r="G376" i="14"/>
  <c r="G408" i="14"/>
  <c r="G474" i="14"/>
  <c r="G518" i="14"/>
  <c r="G544" i="14"/>
  <c r="G590" i="14"/>
  <c r="G616" i="14"/>
  <c r="G693" i="14"/>
  <c r="G710" i="14"/>
  <c r="G717" i="14"/>
  <c r="G724" i="14"/>
  <c r="G733" i="14"/>
  <c r="G749" i="14"/>
  <c r="G767" i="14"/>
  <c r="G868" i="14"/>
  <c r="G895" i="14"/>
  <c r="G971" i="14"/>
  <c r="G1024" i="14"/>
  <c r="G1031" i="14"/>
  <c r="G825" i="14"/>
  <c r="G847" i="14"/>
  <c r="G65" i="14"/>
  <c r="G184" i="14"/>
  <c r="G468" i="14"/>
  <c r="G701" i="14"/>
  <c r="G851" i="14"/>
  <c r="G876" i="14"/>
  <c r="G914" i="14"/>
  <c r="G938" i="14"/>
  <c r="G951" i="14"/>
  <c r="G54" i="14"/>
  <c r="G279" i="14"/>
  <c r="G461" i="14"/>
  <c r="G574" i="14"/>
  <c r="G233" i="14"/>
  <c r="G262" i="14"/>
  <c r="G313" i="14"/>
  <c r="G360" i="14"/>
  <c r="G448" i="14"/>
  <c r="G471" i="14"/>
  <c r="G521" i="14"/>
  <c r="G533" i="14"/>
  <c r="G562" i="14"/>
  <c r="G598" i="14"/>
  <c r="G703" i="14"/>
  <c r="G758" i="14"/>
  <c r="G785" i="14"/>
  <c r="G872" i="14"/>
  <c r="G897" i="14"/>
  <c r="G899" i="14"/>
  <c r="G912" i="14"/>
  <c r="G923" i="14"/>
  <c r="G960" i="14"/>
  <c r="G274" i="14"/>
  <c r="G351" i="14"/>
  <c r="G383" i="14"/>
  <c r="G478" i="14"/>
  <c r="G568" i="14"/>
  <c r="G582" i="14"/>
  <c r="G619" i="14"/>
  <c r="G680" i="14"/>
  <c r="G722" i="14"/>
  <c r="G817" i="14"/>
  <c r="G819" i="14"/>
  <c r="G821" i="14"/>
  <c r="G827" i="14"/>
  <c r="G829" i="14"/>
  <c r="G831" i="14"/>
  <c r="G833" i="14"/>
  <c r="G874" i="14"/>
  <c r="G458" i="14"/>
  <c r="G747" i="14"/>
  <c r="G754" i="14"/>
  <c r="G774" i="14"/>
  <c r="G835" i="14"/>
  <c r="G927" i="14"/>
  <c r="G980" i="14"/>
  <c r="G1003" i="14"/>
  <c r="G585" i="14"/>
  <c r="G311" i="14"/>
  <c r="G467" i="14"/>
  <c r="G556" i="14"/>
  <c r="G610" i="14"/>
  <c r="G729" i="14"/>
  <c r="G748" i="14"/>
  <c r="G955" i="14"/>
  <c r="G1000" i="14"/>
  <c r="G380" i="14"/>
  <c r="G444" i="14"/>
  <c r="G460" i="14"/>
  <c r="G472" i="14"/>
  <c r="G507" i="14"/>
  <c r="G587" i="14"/>
  <c r="G658" i="14"/>
  <c r="G696" i="14"/>
  <c r="G699" i="14"/>
  <c r="G737" i="14"/>
  <c r="G740" i="14"/>
  <c r="G795" i="14"/>
  <c r="G810" i="14"/>
  <c r="G907" i="14"/>
  <c r="G931" i="14"/>
  <c r="G953" i="14"/>
  <c r="G964" i="14"/>
  <c r="G979" i="14"/>
  <c r="G981" i="14"/>
  <c r="G1004" i="14"/>
  <c r="G1023" i="14"/>
  <c r="G1027" i="14"/>
  <c r="G1029" i="14"/>
  <c r="G193" i="14"/>
  <c r="G367" i="14"/>
  <c r="G424" i="14"/>
  <c r="G428" i="14"/>
  <c r="G567" i="14"/>
  <c r="G622" i="14"/>
  <c r="G665" i="14"/>
  <c r="G713" i="14"/>
  <c r="G743" i="14"/>
  <c r="G764" i="14"/>
  <c r="G798" i="14"/>
  <c r="G801" i="14"/>
  <c r="G824" i="14"/>
  <c r="G857" i="14"/>
  <c r="G871" i="14"/>
  <c r="G891" i="14"/>
  <c r="G896" i="14"/>
  <c r="G905" i="14"/>
  <c r="G918" i="14"/>
  <c r="G929" i="14"/>
  <c r="G942" i="14"/>
  <c r="G977" i="14"/>
  <c r="G983" i="14"/>
  <c r="G998" i="14"/>
  <c r="G1006" i="14"/>
  <c r="G211" i="14"/>
  <c r="G251" i="14"/>
  <c r="G278" i="14"/>
  <c r="G296" i="14"/>
  <c r="G477" i="14"/>
  <c r="G511" i="14"/>
  <c r="G550" i="14"/>
  <c r="G554" i="14"/>
  <c r="G588" i="14"/>
  <c r="G656" i="14"/>
  <c r="G675" i="14"/>
  <c r="G708" i="14"/>
  <c r="G741" i="14"/>
  <c r="G746" i="14"/>
  <c r="G337" i="14"/>
  <c r="G1032" i="14"/>
  <c r="G1002" i="14"/>
  <c r="G941" i="14"/>
  <c r="G939" i="14"/>
  <c r="G920" i="14"/>
  <c r="G908" i="14"/>
  <c r="G881" i="14"/>
  <c r="G867" i="14"/>
  <c r="G852" i="14"/>
  <c r="G802" i="14"/>
  <c r="G770" i="14"/>
  <c r="G728" i="14"/>
  <c r="G698" i="14"/>
  <c r="G654" i="14"/>
  <c r="G583" i="14"/>
  <c r="G473" i="14"/>
  <c r="G323" i="14"/>
  <c r="F9" i="1"/>
  <c r="Z17" i="3"/>
  <c r="Z16" i="3"/>
  <c r="H2" i="1"/>
  <c r="C12" i="1" s="1"/>
  <c r="Z18" i="3" s="1"/>
  <c r="K30" i="11"/>
  <c r="G1019" i="14"/>
  <c r="G930" i="14"/>
  <c r="G853" i="14"/>
  <c r="G800" i="14"/>
  <c r="G679" i="14"/>
  <c r="G638" i="14"/>
  <c r="G470" i="14"/>
  <c r="G417" i="14"/>
  <c r="G389" i="14"/>
  <c r="G385" i="14"/>
  <c r="C15" i="1"/>
  <c r="G1021" i="14"/>
  <c r="G1005" i="14"/>
  <c r="G808" i="14"/>
  <c r="G803" i="14"/>
  <c r="G516" i="14"/>
  <c r="G301" i="14"/>
  <c r="G49" i="14"/>
  <c r="G975" i="14"/>
  <c r="G935" i="14"/>
  <c r="G843" i="14"/>
  <c r="G773" i="14"/>
  <c r="G624" i="14"/>
  <c r="G569" i="14"/>
  <c r="G465" i="14"/>
  <c r="G430" i="14"/>
  <c r="G281" i="14"/>
  <c r="G862" i="14"/>
  <c r="G1034" i="14"/>
  <c r="G1016" i="14"/>
  <c r="G1011" i="14"/>
  <c r="G997" i="14"/>
  <c r="G993" i="14"/>
  <c r="G988" i="14"/>
  <c r="G946" i="14"/>
  <c r="G943" i="14"/>
  <c r="G864" i="14"/>
  <c r="G812" i="14"/>
  <c r="G799" i="14"/>
  <c r="G793" i="14"/>
  <c r="G761" i="14"/>
  <c r="G725" i="14"/>
  <c r="G681" i="14"/>
  <c r="G647" i="14"/>
  <c r="G586" i="14"/>
  <c r="G514" i="14"/>
  <c r="G510" i="14"/>
  <c r="G429" i="14"/>
  <c r="G347" i="14"/>
  <c r="E996" i="14"/>
  <c r="E964" i="14"/>
  <c r="E953" i="14"/>
  <c r="E940" i="14"/>
  <c r="E903" i="14"/>
  <c r="E853" i="14"/>
  <c r="E809" i="14"/>
  <c r="E841" i="14"/>
  <c r="E813" i="14"/>
  <c r="E811" i="14"/>
  <c r="E807" i="14"/>
  <c r="E745" i="14"/>
  <c r="E736" i="14"/>
  <c r="E720" i="14"/>
  <c r="E708" i="14"/>
  <c r="E675" i="14"/>
  <c r="E664" i="14"/>
  <c r="E656" i="14"/>
  <c r="E624" i="14"/>
  <c r="E606" i="14"/>
  <c r="E585" i="14"/>
  <c r="E574" i="14"/>
  <c r="E461" i="14"/>
  <c r="E336" i="14"/>
  <c r="E279" i="14"/>
  <c r="E190" i="14"/>
  <c r="D128" i="14"/>
  <c r="D272" i="14"/>
  <c r="D295" i="14"/>
  <c r="D381" i="14"/>
  <c r="D447" i="14"/>
  <c r="D450" i="14"/>
  <c r="D525" i="14"/>
  <c r="D535" i="14"/>
  <c r="D540" i="14"/>
  <c r="D545" i="14"/>
  <c r="D560" i="14"/>
  <c r="D584" i="14"/>
  <c r="D632" i="14"/>
  <c r="D685" i="14"/>
  <c r="D705" i="14"/>
  <c r="D707" i="14"/>
  <c r="D796" i="14"/>
  <c r="D829" i="14"/>
  <c r="D210" i="14"/>
  <c r="D286" i="14"/>
  <c r="D308" i="14"/>
  <c r="D361" i="14"/>
  <c r="D413" i="14"/>
  <c r="D444" i="14"/>
  <c r="D456" i="14"/>
  <c r="D491" i="14"/>
  <c r="D504" i="14"/>
  <c r="D598" i="14"/>
  <c r="D616" i="14"/>
  <c r="D623" i="14"/>
  <c r="D641" i="14"/>
  <c r="D655" i="14"/>
  <c r="D676" i="14"/>
  <c r="D703" i="14"/>
  <c r="D798" i="14"/>
  <c r="D313" i="14"/>
  <c r="D317" i="14"/>
  <c r="D410" i="14"/>
  <c r="D453" i="14"/>
  <c r="D465" i="14"/>
  <c r="D468" i="14"/>
  <c r="D480" i="14"/>
  <c r="D512" i="14"/>
  <c r="D515" i="14"/>
  <c r="D520" i="14"/>
  <c r="D646" i="14"/>
  <c r="D683" i="14"/>
  <c r="D350" i="14"/>
  <c r="D407" i="14"/>
  <c r="D499" i="14"/>
  <c r="D589" i="14"/>
  <c r="D621" i="14"/>
  <c r="D639" i="14"/>
  <c r="D662" i="14"/>
  <c r="D752" i="14"/>
  <c r="D754" i="14"/>
  <c r="D780" i="14"/>
  <c r="D782" i="14"/>
  <c r="D786" i="14"/>
  <c r="D792" i="14"/>
  <c r="D800" i="14"/>
  <c r="E783" i="14"/>
  <c r="E951" i="14"/>
  <c r="E938" i="14"/>
  <c r="E925" i="14"/>
  <c r="E914" i="14"/>
  <c r="E876" i="14"/>
  <c r="E851" i="14"/>
  <c r="E835" i="14"/>
  <c r="E774" i="14"/>
  <c r="E765" i="14"/>
  <c r="E756" i="14"/>
  <c r="E754" i="14"/>
  <c r="E747" i="14"/>
  <c r="E731" i="14"/>
  <c r="E715" i="14"/>
  <c r="E672" i="14"/>
  <c r="E667" i="14"/>
  <c r="E611" i="14"/>
  <c r="E595" i="14"/>
  <c r="D585" i="14"/>
  <c r="D574" i="14"/>
  <c r="E536" i="14"/>
  <c r="E527" i="14"/>
  <c r="E524" i="14"/>
  <c r="D461" i="14"/>
  <c r="E445" i="14"/>
  <c r="E405" i="14"/>
  <c r="E364" i="14"/>
  <c r="D336" i="14"/>
  <c r="E294" i="14"/>
  <c r="E256" i="14"/>
  <c r="D227" i="14"/>
  <c r="E58" i="14"/>
  <c r="E80" i="14"/>
  <c r="E102" i="14"/>
  <c r="E124" i="14"/>
  <c r="E146" i="14"/>
  <c r="E168" i="14"/>
  <c r="E53" i="14"/>
  <c r="E75" i="14"/>
  <c r="E97" i="14"/>
  <c r="E119" i="14"/>
  <c r="E141" i="14"/>
  <c r="E163" i="14"/>
  <c r="E48" i="14"/>
  <c r="E70" i="14"/>
  <c r="E92" i="14"/>
  <c r="E114" i="14"/>
  <c r="E136" i="14"/>
  <c r="E158" i="14"/>
  <c r="E43" i="14"/>
  <c r="E65" i="14"/>
  <c r="E83" i="14"/>
  <c r="E89" i="14"/>
  <c r="E132" i="14"/>
  <c r="E138" i="14"/>
  <c r="E178" i="14"/>
  <c r="E200" i="14"/>
  <c r="E222" i="14"/>
  <c r="E244" i="14"/>
  <c r="E266" i="14"/>
  <c r="E288" i="14"/>
  <c r="E85" i="14"/>
  <c r="E91" i="14"/>
  <c r="E134" i="14"/>
  <c r="E140" i="14"/>
  <c r="E173" i="14"/>
  <c r="E195" i="14"/>
  <c r="E93" i="14"/>
  <c r="E99" i="14"/>
  <c r="E142" i="14"/>
  <c r="E148" i="14"/>
  <c r="E103" i="14"/>
  <c r="E109" i="14"/>
  <c r="E152" i="14"/>
  <c r="E180" i="14"/>
  <c r="E57" i="14"/>
  <c r="E96" i="14"/>
  <c r="E139" i="14"/>
  <c r="E207" i="14"/>
  <c r="E230" i="14"/>
  <c r="E246" i="14"/>
  <c r="E42" i="14"/>
  <c r="E60" i="14"/>
  <c r="E101" i="14"/>
  <c r="E108" i="14"/>
  <c r="E113" i="14"/>
  <c r="E144" i="14"/>
  <c r="E151" i="14"/>
  <c r="E156" i="14"/>
  <c r="E198" i="14"/>
  <c r="E223" i="14"/>
  <c r="E77" i="14"/>
  <c r="E82" i="14"/>
  <c r="E120" i="14"/>
  <c r="E125" i="14"/>
  <c r="E40" i="14"/>
  <c r="E63" i="14"/>
  <c r="E111" i="14"/>
  <c r="E130" i="14"/>
  <c r="E133" i="14"/>
  <c r="E155" i="14"/>
  <c r="E202" i="14"/>
  <c r="E242" i="14"/>
  <c r="E269" i="14"/>
  <c r="E285" i="14"/>
  <c r="E309" i="14"/>
  <c r="E331" i="14"/>
  <c r="E69" i="14"/>
  <c r="E72" i="14"/>
  <c r="E174" i="14"/>
  <c r="E204" i="14"/>
  <c r="E231" i="14"/>
  <c r="E262" i="14"/>
  <c r="E278" i="14"/>
  <c r="E304" i="14"/>
  <c r="E326" i="14"/>
  <c r="E348" i="14"/>
  <c r="E147" i="14"/>
  <c r="E169" i="14"/>
  <c r="E183" i="14"/>
  <c r="E206" i="14"/>
  <c r="E255" i="14"/>
  <c r="E49" i="14"/>
  <c r="E55" i="14"/>
  <c r="E86" i="14"/>
  <c r="E150" i="14"/>
  <c r="E51" i="14"/>
  <c r="E62" i="14"/>
  <c r="E123" i="14"/>
  <c r="E129" i="14"/>
  <c r="E182" i="14"/>
  <c r="E187" i="14"/>
  <c r="E197" i="14"/>
  <c r="E217" i="14"/>
  <c r="E241" i="14"/>
  <c r="E243" i="14"/>
  <c r="E245" i="14"/>
  <c r="E271" i="14"/>
  <c r="E273" i="14"/>
  <c r="E307" i="14"/>
  <c r="E342" i="14"/>
  <c r="E365" i="14"/>
  <c r="E377" i="14"/>
  <c r="E399" i="14"/>
  <c r="E421" i="14"/>
  <c r="E443" i="14"/>
  <c r="E44" i="14"/>
  <c r="E126" i="14"/>
  <c r="E153" i="14"/>
  <c r="E159" i="14"/>
  <c r="E224" i="14"/>
  <c r="E239" i="14"/>
  <c r="E275" i="14"/>
  <c r="E296" i="14"/>
  <c r="E320" i="14"/>
  <c r="E333" i="14"/>
  <c r="E372" i="14"/>
  <c r="E394" i="14"/>
  <c r="E416" i="14"/>
  <c r="E116" i="14"/>
  <c r="E143" i="14"/>
  <c r="E172" i="14"/>
  <c r="E41" i="14"/>
  <c r="E76" i="14"/>
  <c r="E79" i="14"/>
  <c r="E175" i="14"/>
  <c r="E215" i="14"/>
  <c r="E277" i="14"/>
  <c r="E87" i="14"/>
  <c r="E95" i="14"/>
  <c r="E107" i="14"/>
  <c r="E221" i="14"/>
  <c r="E237" i="14"/>
  <c r="E306" i="14"/>
  <c r="E308" i="14"/>
  <c r="E312" i="14"/>
  <c r="E354" i="14"/>
  <c r="E375" i="14"/>
  <c r="E434" i="14"/>
  <c r="E465" i="14"/>
  <c r="E487" i="14"/>
  <c r="E50" i="14"/>
  <c r="E67" i="14"/>
  <c r="E162" i="14"/>
  <c r="E166" i="14"/>
  <c r="E170" i="14"/>
  <c r="E176" i="14"/>
  <c r="E205" i="14"/>
  <c r="E249" i="14"/>
  <c r="E252" i="14"/>
  <c r="E259" i="14"/>
  <c r="E264" i="14"/>
  <c r="E280" i="14"/>
  <c r="E289" i="14"/>
  <c r="E310" i="14"/>
  <c r="E356" i="14"/>
  <c r="E358" i="14"/>
  <c r="E360" i="14"/>
  <c r="E115" i="14"/>
  <c r="E56" i="14"/>
  <c r="E161" i="14"/>
  <c r="E203" i="14"/>
  <c r="E253" i="14"/>
  <c r="E272" i="14"/>
  <c r="E321" i="14"/>
  <c r="E328" i="14"/>
  <c r="E344" i="14"/>
  <c r="E353" i="14"/>
  <c r="E395" i="14"/>
  <c r="E448" i="14"/>
  <c r="E478" i="14"/>
  <c r="E66" i="14"/>
  <c r="E94" i="14"/>
  <c r="E117" i="14"/>
  <c r="E157" i="14"/>
  <c r="E165" i="14"/>
  <c r="E236" i="14"/>
  <c r="E297" i="14"/>
  <c r="E316" i="14"/>
  <c r="E374" i="14"/>
  <c r="E397" i="14"/>
  <c r="E422" i="14"/>
  <c r="E439" i="14"/>
  <c r="E464" i="14"/>
  <c r="E471" i="14"/>
  <c r="E494" i="14"/>
  <c r="E518" i="14"/>
  <c r="E61" i="14"/>
  <c r="E104" i="14"/>
  <c r="E112" i="14"/>
  <c r="E135" i="14"/>
  <c r="E181" i="14"/>
  <c r="E184" i="14"/>
  <c r="E194" i="14"/>
  <c r="E248" i="14"/>
  <c r="E290" i="14"/>
  <c r="E300" i="14"/>
  <c r="E351" i="14"/>
  <c r="E47" i="14"/>
  <c r="E191" i="14"/>
  <c r="E212" i="14"/>
  <c r="E261" i="14"/>
  <c r="E282" i="14"/>
  <c r="E299" i="14"/>
  <c r="E106" i="14"/>
  <c r="E171" i="14"/>
  <c r="E226" i="14"/>
  <c r="E291" i="14"/>
  <c r="E313" i="14"/>
  <c r="E318" i="14"/>
  <c r="E329" i="14"/>
  <c r="E382" i="14"/>
  <c r="E401" i="14"/>
  <c r="E424" i="14"/>
  <c r="E456" i="14"/>
  <c r="E483" i="14"/>
  <c r="E496" i="14"/>
  <c r="E505" i="14"/>
  <c r="E538" i="14"/>
  <c r="E560" i="14"/>
  <c r="E582" i="14"/>
  <c r="E74" i="14"/>
  <c r="E127" i="14"/>
  <c r="E167" i="14"/>
  <c r="E220" i="14"/>
  <c r="E233" i="14"/>
  <c r="E305" i="14"/>
  <c r="E337" i="14"/>
  <c r="E357" i="14"/>
  <c r="E380" i="14"/>
  <c r="E420" i="14"/>
  <c r="E458" i="14"/>
  <c r="E460" i="14"/>
  <c r="E521" i="14"/>
  <c r="E533" i="14"/>
  <c r="E555" i="14"/>
  <c r="E54" i="14"/>
  <c r="E64" i="14"/>
  <c r="E164" i="14"/>
  <c r="E227" i="14"/>
  <c r="E238" i="14"/>
  <c r="E359" i="14"/>
  <c r="E370" i="14"/>
  <c r="E402" i="14"/>
  <c r="E427" i="14"/>
  <c r="E485" i="14"/>
  <c r="E497" i="14"/>
  <c r="E503" i="14"/>
  <c r="E563" i="14"/>
  <c r="E570" i="14"/>
  <c r="E596" i="14"/>
  <c r="E618" i="14"/>
  <c r="E640" i="14"/>
  <c r="E662" i="14"/>
  <c r="E684" i="14"/>
  <c r="E706" i="14"/>
  <c r="E728" i="14"/>
  <c r="E750" i="14"/>
  <c r="E772" i="14"/>
  <c r="E794" i="14"/>
  <c r="E816" i="14"/>
  <c r="E838" i="14"/>
  <c r="E860" i="14"/>
  <c r="E882" i="14"/>
  <c r="E196" i="14"/>
  <c r="E235" i="14"/>
  <c r="E267" i="14"/>
  <c r="E323" i="14"/>
  <c r="E425" i="14"/>
  <c r="E462" i="14"/>
  <c r="E481" i="14"/>
  <c r="E507" i="14"/>
  <c r="E530" i="14"/>
  <c r="E541" i="14"/>
  <c r="E554" i="14"/>
  <c r="E579" i="14"/>
  <c r="E591" i="14"/>
  <c r="E613" i="14"/>
  <c r="E635" i="14"/>
  <c r="E657" i="14"/>
  <c r="E679" i="14"/>
  <c r="E701" i="14"/>
  <c r="E88" i="14"/>
  <c r="E154" i="14"/>
  <c r="E192" i="14"/>
  <c r="E216" i="14"/>
  <c r="E250" i="14"/>
  <c r="E257" i="14"/>
  <c r="E274" i="14"/>
  <c r="E281" i="14"/>
  <c r="E303" i="14"/>
  <c r="E349" i="14"/>
  <c r="E384" i="14"/>
  <c r="E391" i="14"/>
  <c r="E400" i="14"/>
  <c r="E409" i="14"/>
  <c r="E477" i="14"/>
  <c r="E479" i="14"/>
  <c r="E509" i="14"/>
  <c r="E572" i="14"/>
  <c r="E586" i="14"/>
  <c r="E608" i="14"/>
  <c r="E630" i="14"/>
  <c r="E652" i="14"/>
  <c r="E674" i="14"/>
  <c r="E696" i="14"/>
  <c r="E81" i="14"/>
  <c r="E322" i="14"/>
  <c r="E345" i="14"/>
  <c r="E393" i="14"/>
  <c r="E414" i="14"/>
  <c r="E442" i="14"/>
  <c r="E452" i="14"/>
  <c r="E469" i="14"/>
  <c r="E534" i="14"/>
  <c r="E597" i="14"/>
  <c r="E626" i="14"/>
  <c r="E632" i="14"/>
  <c r="E661" i="14"/>
  <c r="E707" i="14"/>
  <c r="E716" i="14"/>
  <c r="E732" i="14"/>
  <c r="E739" i="14"/>
  <c r="E762" i="14"/>
  <c r="E792" i="14"/>
  <c r="E815" i="14"/>
  <c r="E822" i="14"/>
  <c r="E845" i="14"/>
  <c r="E875" i="14"/>
  <c r="E898" i="14"/>
  <c r="E915" i="14"/>
  <c r="E937" i="14"/>
  <c r="E959" i="14"/>
  <c r="E981" i="14"/>
  <c r="E1003" i="14"/>
  <c r="E1025" i="14"/>
  <c r="E149" i="14"/>
  <c r="E188" i="14"/>
  <c r="E211" i="14"/>
  <c r="E265" i="14"/>
  <c r="E122" i="14"/>
  <c r="E332" i="14"/>
  <c r="E396" i="14"/>
  <c r="E406" i="14"/>
  <c r="E457" i="14"/>
  <c r="E551" i="14"/>
  <c r="E553" i="14"/>
  <c r="E601" i="14"/>
  <c r="E605" i="14"/>
  <c r="E663" i="14"/>
  <c r="E692" i="14"/>
  <c r="E698" i="14"/>
  <c r="E709" i="14"/>
  <c r="E718" i="14"/>
  <c r="E748" i="14"/>
  <c r="E771" i="14"/>
  <c r="E778" i="14"/>
  <c r="E801" i="14"/>
  <c r="E831" i="14"/>
  <c r="E854" i="14"/>
  <c r="E877" i="14"/>
  <c r="E905" i="14"/>
  <c r="E927" i="14"/>
  <c r="E949" i="14"/>
  <c r="E110" i="14"/>
  <c r="E118" i="14"/>
  <c r="E254" i="14"/>
  <c r="E327" i="14"/>
  <c r="E338" i="14"/>
  <c r="E366" i="14"/>
  <c r="E398" i="14"/>
  <c r="E412" i="14"/>
  <c r="E437" i="14"/>
  <c r="E453" i="14"/>
  <c r="E492" i="14"/>
  <c r="E504" i="14"/>
  <c r="E186" i="14"/>
  <c r="E334" i="14"/>
  <c r="E381" i="14"/>
  <c r="E418" i="14"/>
  <c r="E440" i="14"/>
  <c r="E480" i="14"/>
  <c r="E528" i="14"/>
  <c r="E537" i="14"/>
  <c r="E546" i="14"/>
  <c r="E571" i="14"/>
  <c r="E580" i="14"/>
  <c r="E593" i="14"/>
  <c r="E612" i="14"/>
  <c r="E614" i="14"/>
  <c r="E669" i="14"/>
  <c r="E688" i="14"/>
  <c r="E690" i="14"/>
  <c r="E730" i="14"/>
  <c r="E759" i="14"/>
  <c r="E786" i="14"/>
  <c r="E263" i="14"/>
  <c r="E268" i="14"/>
  <c r="E298" i="14"/>
  <c r="E335" i="14"/>
  <c r="E429" i="14"/>
  <c r="E467" i="14"/>
  <c r="E475" i="14"/>
  <c r="E495" i="14"/>
  <c r="E535" i="14"/>
  <c r="E558" i="14"/>
  <c r="E627" i="14"/>
  <c r="E629" i="14"/>
  <c r="E631" i="14"/>
  <c r="E650" i="14"/>
  <c r="E199" i="14"/>
  <c r="E435" i="14"/>
  <c r="E488" i="14"/>
  <c r="E600" i="14"/>
  <c r="E827" i="14"/>
  <c r="E128" i="14"/>
  <c r="E295" i="14"/>
  <c r="E378" i="14"/>
  <c r="E432" i="14"/>
  <c r="E438" i="14"/>
  <c r="E447" i="14"/>
  <c r="E450" i="14"/>
  <c r="E525" i="14"/>
  <c r="E540" i="14"/>
  <c r="E545" i="14"/>
  <c r="E565" i="14"/>
  <c r="E584" i="14"/>
  <c r="E607" i="14"/>
  <c r="E648" i="14"/>
  <c r="E685" i="14"/>
  <c r="E705" i="14"/>
  <c r="E796" i="14"/>
  <c r="E210" i="14"/>
  <c r="E286" i="14"/>
  <c r="E361" i="14"/>
  <c r="E413" i="14"/>
  <c r="E444" i="14"/>
  <c r="E459" i="14"/>
  <c r="E491" i="14"/>
  <c r="E550" i="14"/>
  <c r="E598" i="14"/>
  <c r="E616" i="14"/>
  <c r="E623" i="14"/>
  <c r="E641" i="14"/>
  <c r="E655" i="14"/>
  <c r="E676" i="14"/>
  <c r="E694" i="14"/>
  <c r="E317" i="14"/>
  <c r="E410" i="14"/>
  <c r="E468" i="14"/>
  <c r="E512" i="14"/>
  <c r="E515" i="14"/>
  <c r="E520" i="14"/>
  <c r="E577" i="14"/>
  <c r="E646" i="14"/>
  <c r="E683" i="14"/>
  <c r="E784" i="14"/>
  <c r="E788" i="14"/>
  <c r="E790" i="14"/>
  <c r="E805" i="14"/>
  <c r="E752" i="14"/>
  <c r="E691" i="14"/>
  <c r="E251" i="14"/>
  <c r="E878" i="14"/>
  <c r="E839" i="14"/>
  <c r="E980" i="14"/>
  <c r="E962" i="14"/>
  <c r="E901" i="14"/>
  <c r="E994" i="14"/>
  <c r="E874" i="14"/>
  <c r="E849" i="14"/>
  <c r="E847" i="14"/>
  <c r="E833" i="14"/>
  <c r="E829" i="14"/>
  <c r="E825" i="14"/>
  <c r="E823" i="14"/>
  <c r="E821" i="14"/>
  <c r="E819" i="14"/>
  <c r="E817" i="14"/>
  <c r="D774" i="14"/>
  <c r="D765" i="14"/>
  <c r="D756" i="14"/>
  <c r="D747" i="14"/>
  <c r="E738" i="14"/>
  <c r="D731" i="14"/>
  <c r="E722" i="14"/>
  <c r="D715" i="14"/>
  <c r="D688" i="14"/>
  <c r="E680" i="14"/>
  <c r="D672" i="14"/>
  <c r="E645" i="14"/>
  <c r="E619" i="14"/>
  <c r="D611" i="14"/>
  <c r="D595" i="14"/>
  <c r="D582" i="14"/>
  <c r="E568" i="14"/>
  <c r="D536" i="14"/>
  <c r="D527" i="14"/>
  <c r="D524" i="14"/>
  <c r="D478" i="14"/>
  <c r="D427" i="14"/>
  <c r="D405" i="14"/>
  <c r="E383" i="14"/>
  <c r="D364" i="14"/>
  <c r="E341" i="14"/>
  <c r="D256" i="14"/>
  <c r="E121" i="14"/>
  <c r="E84" i="14"/>
  <c r="E73" i="14"/>
  <c r="E1019" i="14"/>
  <c r="E929" i="14"/>
  <c r="E916" i="14"/>
  <c r="E884" i="14"/>
  <c r="E880" i="14"/>
  <c r="E855" i="14"/>
  <c r="E651" i="14"/>
  <c r="E506" i="14"/>
  <c r="E455" i="14"/>
  <c r="E387" i="14"/>
  <c r="E105" i="14"/>
  <c r="E1033" i="14"/>
  <c r="E1026" i="14"/>
  <c r="E973" i="14"/>
  <c r="E843" i="14"/>
  <c r="E837" i="14"/>
  <c r="E763" i="14"/>
  <c r="E1010" i="14"/>
  <c r="E987" i="14"/>
  <c r="E1017" i="14"/>
  <c r="E1031" i="14"/>
  <c r="E1024" i="14"/>
  <c r="E1001" i="14"/>
  <c r="E971" i="14"/>
  <c r="E960" i="14"/>
  <c r="E947" i="14"/>
  <c r="E936" i="14"/>
  <c r="E923" i="14"/>
  <c r="E912" i="14"/>
  <c r="E899" i="14"/>
  <c r="E897" i="14"/>
  <c r="E872" i="14"/>
  <c r="E870" i="14"/>
  <c r="D849" i="14"/>
  <c r="D825" i="14"/>
  <c r="D823" i="14"/>
  <c r="D821" i="14"/>
  <c r="D819" i="14"/>
  <c r="E785" i="14"/>
  <c r="E776" i="14"/>
  <c r="E758" i="14"/>
  <c r="D738" i="14"/>
  <c r="D722" i="14"/>
  <c r="E703" i="14"/>
  <c r="D680" i="14"/>
  <c r="D645" i="14"/>
  <c r="D640" i="14"/>
  <c r="D619" i="14"/>
  <c r="D568" i="14"/>
  <c r="E562" i="14"/>
  <c r="E559" i="14"/>
  <c r="D494" i="14"/>
  <c r="D448" i="14"/>
  <c r="D383" i="14"/>
  <c r="E346" i="14"/>
  <c r="D341" i="14"/>
  <c r="E293" i="14"/>
  <c r="D121" i="14"/>
  <c r="D84" i="14"/>
  <c r="D73" i="14"/>
  <c r="D64" i="14"/>
  <c r="D40" i="14"/>
  <c r="D53" i="14"/>
  <c r="D75" i="14"/>
  <c r="D97" i="14"/>
  <c r="D119" i="14"/>
  <c r="D141" i="14"/>
  <c r="D163" i="14"/>
  <c r="D48" i="14"/>
  <c r="D70" i="14"/>
  <c r="D92" i="14"/>
  <c r="D114" i="14"/>
  <c r="D136" i="14"/>
  <c r="D158" i="14"/>
  <c r="D43" i="14"/>
  <c r="D65" i="14"/>
  <c r="D87" i="14"/>
  <c r="D109" i="14"/>
  <c r="D131" i="14"/>
  <c r="D153" i="14"/>
  <c r="D60" i="14"/>
  <c r="D85" i="14"/>
  <c r="D91" i="14"/>
  <c r="D134" i="14"/>
  <c r="D140" i="14"/>
  <c r="D173" i="14"/>
  <c r="D195" i="14"/>
  <c r="D217" i="14"/>
  <c r="D239" i="14"/>
  <c r="D261" i="14"/>
  <c r="D283" i="14"/>
  <c r="D93" i="14"/>
  <c r="D99" i="14"/>
  <c r="D142" i="14"/>
  <c r="D148" i="14"/>
  <c r="D190" i="14"/>
  <c r="D45" i="14"/>
  <c r="D47" i="14"/>
  <c r="D49" i="14"/>
  <c r="D51" i="14"/>
  <c r="D95" i="14"/>
  <c r="D101" i="14"/>
  <c r="D144" i="14"/>
  <c r="D150" i="14"/>
  <c r="D39" i="14"/>
  <c r="D105" i="14"/>
  <c r="D111" i="14"/>
  <c r="D154" i="14"/>
  <c r="D160" i="14"/>
  <c r="D175" i="14"/>
  <c r="D197" i="14"/>
  <c r="D42" i="14"/>
  <c r="D108" i="14"/>
  <c r="D113" i="14"/>
  <c r="D151" i="14"/>
  <c r="D156" i="14"/>
  <c r="D198" i="14"/>
  <c r="D223" i="14"/>
  <c r="D77" i="14"/>
  <c r="D82" i="14"/>
  <c r="D120" i="14"/>
  <c r="D125" i="14"/>
  <c r="D168" i="14"/>
  <c r="D216" i="14"/>
  <c r="D50" i="14"/>
  <c r="D89" i="14"/>
  <c r="D94" i="14"/>
  <c r="D132" i="14"/>
  <c r="D137" i="14"/>
  <c r="D69" i="14"/>
  <c r="D72" i="14"/>
  <c r="D174" i="14"/>
  <c r="D200" i="14"/>
  <c r="D204" i="14"/>
  <c r="D231" i="14"/>
  <c r="D262" i="14"/>
  <c r="D278" i="14"/>
  <c r="D304" i="14"/>
  <c r="D326" i="14"/>
  <c r="D147" i="14"/>
  <c r="D169" i="14"/>
  <c r="D183" i="14"/>
  <c r="D206" i="14"/>
  <c r="D244" i="14"/>
  <c r="D255" i="14"/>
  <c r="D299" i="14"/>
  <c r="D321" i="14"/>
  <c r="D343" i="14"/>
  <c r="D365" i="14"/>
  <c r="D55" i="14"/>
  <c r="D83" i="14"/>
  <c r="D86" i="14"/>
  <c r="D181" i="14"/>
  <c r="D196" i="14"/>
  <c r="D208" i="14"/>
  <c r="D233" i="14"/>
  <c r="D246" i="14"/>
  <c r="D46" i="14"/>
  <c r="D52" i="14"/>
  <c r="D44" i="14"/>
  <c r="D126" i="14"/>
  <c r="D159" i="14"/>
  <c r="D224" i="14"/>
  <c r="D275" i="14"/>
  <c r="D296" i="14"/>
  <c r="D320" i="14"/>
  <c r="D333" i="14"/>
  <c r="D372" i="14"/>
  <c r="D394" i="14"/>
  <c r="D416" i="14"/>
  <c r="D438" i="14"/>
  <c r="D103" i="14"/>
  <c r="D116" i="14"/>
  <c r="D143" i="14"/>
  <c r="D146" i="14"/>
  <c r="D172" i="14"/>
  <c r="D309" i="14"/>
  <c r="D351" i="14"/>
  <c r="D358" i="14"/>
  <c r="D389" i="14"/>
  <c r="D411" i="14"/>
  <c r="D41" i="14"/>
  <c r="D76" i="14"/>
  <c r="D79" i="14"/>
  <c r="D96" i="14"/>
  <c r="D133" i="14"/>
  <c r="D215" i="14"/>
  <c r="D277" i="14"/>
  <c r="D298" i="14"/>
  <c r="D311" i="14"/>
  <c r="D66" i="14"/>
  <c r="D222" i="14"/>
  <c r="D237" i="14"/>
  <c r="D279" i="14"/>
  <c r="D67" i="14"/>
  <c r="D162" i="14"/>
  <c r="D166" i="14"/>
  <c r="D170" i="14"/>
  <c r="D176" i="14"/>
  <c r="D205" i="14"/>
  <c r="D249" i="14"/>
  <c r="D252" i="14"/>
  <c r="D259" i="14"/>
  <c r="D264" i="14"/>
  <c r="D273" i="14"/>
  <c r="D280" i="14"/>
  <c r="D289" i="14"/>
  <c r="D310" i="14"/>
  <c r="D356" i="14"/>
  <c r="D360" i="14"/>
  <c r="D388" i="14"/>
  <c r="D401" i="14"/>
  <c r="D412" i="14"/>
  <c r="D425" i="14"/>
  <c r="D460" i="14"/>
  <c r="D482" i="14"/>
  <c r="D115" i="14"/>
  <c r="D362" i="14"/>
  <c r="D100" i="14"/>
  <c r="D104" i="14"/>
  <c r="D135" i="14"/>
  <c r="D242" i="14"/>
  <c r="D287" i="14"/>
  <c r="D335" i="14"/>
  <c r="D117" i="14"/>
  <c r="D130" i="14"/>
  <c r="D157" i="14"/>
  <c r="D165" i="14"/>
  <c r="D236" i="14"/>
  <c r="D297" i="14"/>
  <c r="D316" i="14"/>
  <c r="D374" i="14"/>
  <c r="D397" i="14"/>
  <c r="D422" i="14"/>
  <c r="D439" i="14"/>
  <c r="D464" i="14"/>
  <c r="D471" i="14"/>
  <c r="D61" i="14"/>
  <c r="D80" i="14"/>
  <c r="D112" i="14"/>
  <c r="D184" i="14"/>
  <c r="D194" i="14"/>
  <c r="D248" i="14"/>
  <c r="D290" i="14"/>
  <c r="D300" i="14"/>
  <c r="D370" i="14"/>
  <c r="D376" i="14"/>
  <c r="D399" i="14"/>
  <c r="D457" i="14"/>
  <c r="D487" i="14"/>
  <c r="D513" i="14"/>
  <c r="D267" i="14"/>
  <c r="D307" i="14"/>
  <c r="D342" i="14"/>
  <c r="D368" i="14"/>
  <c r="D58" i="14"/>
  <c r="D106" i="14"/>
  <c r="D171" i="14"/>
  <c r="D187" i="14"/>
  <c r="D226" i="14"/>
  <c r="D288" i="14"/>
  <c r="D291" i="14"/>
  <c r="D74" i="14"/>
  <c r="D127" i="14"/>
  <c r="D167" i="14"/>
  <c r="D202" i="14"/>
  <c r="D220" i="14"/>
  <c r="D305" i="14"/>
  <c r="D337" i="14"/>
  <c r="D357" i="14"/>
  <c r="D380" i="14"/>
  <c r="D420" i="14"/>
  <c r="D458" i="14"/>
  <c r="D521" i="14"/>
  <c r="D533" i="14"/>
  <c r="D555" i="14"/>
  <c r="D577" i="14"/>
  <c r="D59" i="14"/>
  <c r="D122" i="14"/>
  <c r="D180" i="14"/>
  <c r="D209" i="14"/>
  <c r="D268" i="14"/>
  <c r="D294" i="14"/>
  <c r="D345" i="14"/>
  <c r="D367" i="14"/>
  <c r="D378" i="14"/>
  <c r="D418" i="14"/>
  <c r="D462" i="14"/>
  <c r="D466" i="14"/>
  <c r="D485" i="14"/>
  <c r="D498" i="14"/>
  <c r="D514" i="14"/>
  <c r="D528" i="14"/>
  <c r="D550" i="14"/>
  <c r="D235" i="14"/>
  <c r="D323" i="14"/>
  <c r="D354" i="14"/>
  <c r="D377" i="14"/>
  <c r="D434" i="14"/>
  <c r="D443" i="14"/>
  <c r="D481" i="14"/>
  <c r="D483" i="14"/>
  <c r="D505" i="14"/>
  <c r="D507" i="14"/>
  <c r="D530" i="14"/>
  <c r="D541" i="14"/>
  <c r="D554" i="14"/>
  <c r="D579" i="14"/>
  <c r="D591" i="14"/>
  <c r="D613" i="14"/>
  <c r="D635" i="14"/>
  <c r="D657" i="14"/>
  <c r="D679" i="14"/>
  <c r="D701" i="14"/>
  <c r="D723" i="14"/>
  <c r="D745" i="14"/>
  <c r="D767" i="14"/>
  <c r="D789" i="14"/>
  <c r="D811" i="14"/>
  <c r="D833" i="14"/>
  <c r="D855" i="14"/>
  <c r="D877" i="14"/>
  <c r="D899" i="14"/>
  <c r="D88" i="14"/>
  <c r="D192" i="14"/>
  <c r="D250" i="14"/>
  <c r="D253" i="14"/>
  <c r="D257" i="14"/>
  <c r="D274" i="14"/>
  <c r="D281" i="14"/>
  <c r="D303" i="14"/>
  <c r="D306" i="14"/>
  <c r="D329" i="14"/>
  <c r="D349" i="14"/>
  <c r="D384" i="14"/>
  <c r="D391" i="14"/>
  <c r="D400" i="14"/>
  <c r="D409" i="14"/>
  <c r="D477" i="14"/>
  <c r="D479" i="14"/>
  <c r="D509" i="14"/>
  <c r="D572" i="14"/>
  <c r="D586" i="14"/>
  <c r="D608" i="14"/>
  <c r="D630" i="14"/>
  <c r="D652" i="14"/>
  <c r="D674" i="14"/>
  <c r="D696" i="14"/>
  <c r="D118" i="14"/>
  <c r="D129" i="14"/>
  <c r="D271" i="14"/>
  <c r="D284" i="14"/>
  <c r="D346" i="14"/>
  <c r="D398" i="14"/>
  <c r="D423" i="14"/>
  <c r="D432" i="14"/>
  <c r="D441" i="14"/>
  <c r="D511" i="14"/>
  <c r="D532" i="14"/>
  <c r="D543" i="14"/>
  <c r="D556" i="14"/>
  <c r="D565" i="14"/>
  <c r="D603" i="14"/>
  <c r="D625" i="14"/>
  <c r="D647" i="14"/>
  <c r="D669" i="14"/>
  <c r="D691" i="14"/>
  <c r="D149" i="14"/>
  <c r="D182" i="14"/>
  <c r="D188" i="14"/>
  <c r="D211" i="14"/>
  <c r="D265" i="14"/>
  <c r="D348" i="14"/>
  <c r="D363" i="14"/>
  <c r="D474" i="14"/>
  <c r="D488" i="14"/>
  <c r="D510" i="14"/>
  <c r="D519" i="14"/>
  <c r="D599" i="14"/>
  <c r="D628" i="14"/>
  <c r="D634" i="14"/>
  <c r="D690" i="14"/>
  <c r="D725" i="14"/>
  <c r="D755" i="14"/>
  <c r="D785" i="14"/>
  <c r="D808" i="14"/>
  <c r="D838" i="14"/>
  <c r="D861" i="14"/>
  <c r="D868" i="14"/>
  <c r="D884" i="14"/>
  <c r="D891" i="14"/>
  <c r="D910" i="14"/>
  <c r="D932" i="14"/>
  <c r="D954" i="14"/>
  <c r="D976" i="14"/>
  <c r="D998" i="14"/>
  <c r="D1020" i="14"/>
  <c r="D332" i="14"/>
  <c r="D102" i="14"/>
  <c r="D161" i="14"/>
  <c r="D68" i="14"/>
  <c r="D375" i="14"/>
  <c r="D445" i="14"/>
  <c r="D495" i="14"/>
  <c r="D508" i="14"/>
  <c r="D517" i="14"/>
  <c r="D549" i="14"/>
  <c r="D607" i="14"/>
  <c r="D636" i="14"/>
  <c r="D665" i="14"/>
  <c r="D694" i="14"/>
  <c r="D741" i="14"/>
  <c r="D764" i="14"/>
  <c r="D794" i="14"/>
  <c r="D817" i="14"/>
  <c r="D824" i="14"/>
  <c r="D840" i="14"/>
  <c r="D847" i="14"/>
  <c r="D900" i="14"/>
  <c r="D922" i="14"/>
  <c r="D944" i="14"/>
  <c r="D966" i="14"/>
  <c r="D155" i="14"/>
  <c r="D301" i="14"/>
  <c r="D312" i="14"/>
  <c r="D353" i="14"/>
  <c r="D415" i="14"/>
  <c r="D426" i="14"/>
  <c r="D472" i="14"/>
  <c r="D191" i="14"/>
  <c r="D212" i="14"/>
  <c r="D221" i="14"/>
  <c r="D240" i="14"/>
  <c r="D276" i="14"/>
  <c r="D285" i="14"/>
  <c r="D293" i="14"/>
  <c r="D421" i="14"/>
  <c r="D502" i="14"/>
  <c r="D516" i="14"/>
  <c r="D551" i="14"/>
  <c r="D569" i="14"/>
  <c r="D578" i="14"/>
  <c r="D610" i="14"/>
  <c r="D633" i="14"/>
  <c r="D686" i="14"/>
  <c r="D732" i="14"/>
  <c r="D734" i="14"/>
  <c r="D761" i="14"/>
  <c r="D788" i="14"/>
  <c r="D81" i="14"/>
  <c r="D90" i="14"/>
  <c r="D207" i="14"/>
  <c r="D213" i="14"/>
  <c r="D324" i="14"/>
  <c r="D331" i="14"/>
  <c r="D339" i="14"/>
  <c r="D435" i="14"/>
  <c r="D459" i="14"/>
  <c r="D490" i="14"/>
  <c r="D544" i="14"/>
  <c r="D567" i="14"/>
  <c r="D576" i="14"/>
  <c r="D648" i="14"/>
  <c r="D667" i="14"/>
  <c r="C190" i="14"/>
  <c r="C212" i="14"/>
  <c r="C234" i="14"/>
  <c r="C256" i="14"/>
  <c r="C278" i="14"/>
  <c r="C95" i="14"/>
  <c r="C101" i="14"/>
  <c r="C144" i="14"/>
  <c r="C150" i="14"/>
  <c r="C185" i="14"/>
  <c r="C97" i="14"/>
  <c r="C103" i="14"/>
  <c r="C146" i="14"/>
  <c r="C152" i="14"/>
  <c r="C107" i="14"/>
  <c r="C113" i="14"/>
  <c r="C156" i="14"/>
  <c r="C162" i="14"/>
  <c r="C192" i="14"/>
  <c r="C77" i="14"/>
  <c r="C120" i="14"/>
  <c r="C125" i="14"/>
  <c r="C163" i="14"/>
  <c r="C168" i="14"/>
  <c r="C216" i="14"/>
  <c r="C239" i="14"/>
  <c r="C50" i="14"/>
  <c r="C89" i="14"/>
  <c r="C94" i="14"/>
  <c r="C132" i="14"/>
  <c r="C137" i="14"/>
  <c r="C200" i="14"/>
  <c r="C209" i="14"/>
  <c r="C106" i="14"/>
  <c r="C149" i="14"/>
  <c r="C147" i="14"/>
  <c r="C169" i="14"/>
  <c r="C183" i="14"/>
  <c r="C206" i="14"/>
  <c r="C244" i="14"/>
  <c r="C255" i="14"/>
  <c r="C299" i="14"/>
  <c r="C321" i="14"/>
  <c r="C83" i="14"/>
  <c r="C86" i="14"/>
  <c r="C108" i="14"/>
  <c r="C181" i="14"/>
  <c r="C196" i="14"/>
  <c r="C198" i="14"/>
  <c r="C208" i="14"/>
  <c r="C233" i="14"/>
  <c r="C246" i="14"/>
  <c r="C271" i="14"/>
  <c r="C287" i="14"/>
  <c r="C294" i="14"/>
  <c r="C316" i="14"/>
  <c r="C338" i="14"/>
  <c r="C360" i="14"/>
  <c r="C46" i="14"/>
  <c r="C52" i="14"/>
  <c r="C161" i="14"/>
  <c r="C164" i="14"/>
  <c r="C172" i="14"/>
  <c r="C179" i="14"/>
  <c r="C194" i="14"/>
  <c r="C210" i="14"/>
  <c r="C248" i="14"/>
  <c r="C58" i="14"/>
  <c r="C64" i="14"/>
  <c r="C75" i="14"/>
  <c r="C78" i="14"/>
  <c r="C100" i="14"/>
  <c r="C122" i="14"/>
  <c r="C116" i="14"/>
  <c r="C143" i="14"/>
  <c r="C309" i="14"/>
  <c r="C351" i="14"/>
  <c r="C358" i="14"/>
  <c r="C389" i="14"/>
  <c r="C411" i="14"/>
  <c r="C433" i="14"/>
  <c r="C41" i="14"/>
  <c r="C69" i="14"/>
  <c r="C76" i="14"/>
  <c r="C79" i="14"/>
  <c r="C96" i="14"/>
  <c r="C133" i="14"/>
  <c r="C215" i="14"/>
  <c r="C277" i="14"/>
  <c r="C298" i="14"/>
  <c r="C311" i="14"/>
  <c r="C322" i="14"/>
  <c r="C335" i="14"/>
  <c r="C344" i="14"/>
  <c r="C367" i="14"/>
  <c r="C384" i="14"/>
  <c r="C406" i="14"/>
  <c r="C428" i="14"/>
  <c r="C66" i="14"/>
  <c r="C175" i="14"/>
  <c r="C222" i="14"/>
  <c r="C237" i="14"/>
  <c r="C279" i="14"/>
  <c r="C166" i="14"/>
  <c r="C180" i="14"/>
  <c r="C204" i="14"/>
  <c r="C213" i="14"/>
  <c r="C235" i="14"/>
  <c r="C115" i="14"/>
  <c r="C362" i="14"/>
  <c r="C377" i="14"/>
  <c r="C443" i="14"/>
  <c r="C455" i="14"/>
  <c r="C477" i="14"/>
  <c r="C499" i="14"/>
  <c r="C135" i="14"/>
  <c r="C242" i="14"/>
  <c r="C304" i="14"/>
  <c r="C364" i="14"/>
  <c r="C54" i="14"/>
  <c r="C127" i="14"/>
  <c r="C139" i="14"/>
  <c r="C211" i="14"/>
  <c r="C257" i="14"/>
  <c r="C302" i="14"/>
  <c r="C337" i="14"/>
  <c r="C339" i="14"/>
  <c r="C341" i="14"/>
  <c r="C61" i="14"/>
  <c r="C80" i="14"/>
  <c r="C112" i="14"/>
  <c r="C134" i="14"/>
  <c r="C184" i="14"/>
  <c r="C197" i="14"/>
  <c r="C280" i="14"/>
  <c r="C290" i="14"/>
  <c r="C300" i="14"/>
  <c r="C370" i="14"/>
  <c r="C372" i="14"/>
  <c r="C376" i="14"/>
  <c r="C399" i="14"/>
  <c r="C457" i="14"/>
  <c r="C140" i="14"/>
  <c r="C267" i="14"/>
  <c r="C307" i="14"/>
  <c r="C342" i="14"/>
  <c r="C368" i="14"/>
  <c r="C401" i="14"/>
  <c r="C403" i="14"/>
  <c r="C424" i="14"/>
  <c r="C441" i="14"/>
  <c r="C450" i="14"/>
  <c r="C480" i="14"/>
  <c r="C508" i="14"/>
  <c r="C191" i="14"/>
  <c r="C225" i="14"/>
  <c r="C245" i="14"/>
  <c r="C259" i="14"/>
  <c r="C262" i="14"/>
  <c r="C295" i="14"/>
  <c r="C333" i="14"/>
  <c r="C366" i="14"/>
  <c r="C42" i="14"/>
  <c r="C74" i="14"/>
  <c r="C85" i="14"/>
  <c r="C167" i="14"/>
  <c r="C202" i="14"/>
  <c r="C220" i="14"/>
  <c r="C59" i="14"/>
  <c r="C117" i="14"/>
  <c r="C205" i="14"/>
  <c r="C236" i="14"/>
  <c r="C268" i="14"/>
  <c r="C345" i="14"/>
  <c r="C378" i="14"/>
  <c r="C418" i="14"/>
  <c r="C422" i="14"/>
  <c r="C460" i="14"/>
  <c r="C462" i="14"/>
  <c r="C466" i="14"/>
  <c r="C485" i="14"/>
  <c r="C498" i="14"/>
  <c r="C514" i="14"/>
  <c r="C528" i="14"/>
  <c r="C550" i="14"/>
  <c r="C572" i="14"/>
  <c r="C91" i="14"/>
  <c r="C223" i="14"/>
  <c r="C324" i="14"/>
  <c r="C340" i="14"/>
  <c r="C350" i="14"/>
  <c r="C355" i="14"/>
  <c r="C464" i="14"/>
  <c r="C468" i="14"/>
  <c r="C507" i="14"/>
  <c r="C545" i="14"/>
  <c r="C88" i="14"/>
  <c r="C141" i="14"/>
  <c r="C187" i="14"/>
  <c r="C231" i="14"/>
  <c r="C250" i="14"/>
  <c r="C253" i="14"/>
  <c r="C274" i="14"/>
  <c r="C281" i="14"/>
  <c r="C303" i="14"/>
  <c r="C306" i="14"/>
  <c r="C329" i="14"/>
  <c r="C349" i="14"/>
  <c r="C391" i="14"/>
  <c r="C400" i="14"/>
  <c r="C409" i="14"/>
  <c r="C416" i="14"/>
  <c r="C425" i="14"/>
  <c r="C479" i="14"/>
  <c r="C509" i="14"/>
  <c r="C586" i="14"/>
  <c r="C608" i="14"/>
  <c r="C630" i="14"/>
  <c r="C652" i="14"/>
  <c r="C674" i="14"/>
  <c r="C696" i="14"/>
  <c r="C718" i="14"/>
  <c r="C740" i="14"/>
  <c r="C762" i="14"/>
  <c r="C784" i="14"/>
  <c r="C806" i="14"/>
  <c r="C828" i="14"/>
  <c r="C850" i="14"/>
  <c r="C872" i="14"/>
  <c r="C894" i="14"/>
  <c r="C118" i="14"/>
  <c r="C129" i="14"/>
  <c r="C154" i="14"/>
  <c r="C159" i="14"/>
  <c r="C174" i="14"/>
  <c r="C284" i="14"/>
  <c r="C346" i="14"/>
  <c r="C398" i="14"/>
  <c r="C423" i="14"/>
  <c r="C432" i="14"/>
  <c r="C511" i="14"/>
  <c r="C532" i="14"/>
  <c r="C543" i="14"/>
  <c r="C556" i="14"/>
  <c r="C565" i="14"/>
  <c r="C603" i="14"/>
  <c r="C625" i="14"/>
  <c r="C647" i="14"/>
  <c r="C669" i="14"/>
  <c r="C691" i="14"/>
  <c r="C44" i="14"/>
  <c r="C57" i="14"/>
  <c r="C188" i="14"/>
  <c r="C332" i="14"/>
  <c r="C475" i="14"/>
  <c r="C581" i="14"/>
  <c r="C598" i="14"/>
  <c r="C620" i="14"/>
  <c r="C642" i="14"/>
  <c r="C664" i="14"/>
  <c r="C686" i="14"/>
  <c r="C102" i="14"/>
  <c r="C396" i="14"/>
  <c r="C497" i="14"/>
  <c r="C551" i="14"/>
  <c r="C553" i="14"/>
  <c r="C555" i="14"/>
  <c r="C601" i="14"/>
  <c r="C605" i="14"/>
  <c r="C663" i="14"/>
  <c r="C692" i="14"/>
  <c r="C698" i="14"/>
  <c r="C709" i="14"/>
  <c r="C748" i="14"/>
  <c r="C771" i="14"/>
  <c r="C778" i="14"/>
  <c r="C801" i="14"/>
  <c r="C831" i="14"/>
  <c r="C854" i="14"/>
  <c r="C905" i="14"/>
  <c r="C927" i="14"/>
  <c r="C949" i="14"/>
  <c r="C971" i="14"/>
  <c r="C993" i="14"/>
  <c r="C1015" i="14"/>
  <c r="C1037" i="14"/>
  <c r="C68" i="14"/>
  <c r="C261" i="14"/>
  <c r="C193" i="14"/>
  <c r="C249" i="14"/>
  <c r="C269" i="14"/>
  <c r="C292" i="14"/>
  <c r="C313" i="14"/>
  <c r="C388" i="14"/>
  <c r="C417" i="14"/>
  <c r="C427" i="14"/>
  <c r="C435" i="14"/>
  <c r="C440" i="14"/>
  <c r="C467" i="14"/>
  <c r="C486" i="14"/>
  <c r="C530" i="14"/>
  <c r="C547" i="14"/>
  <c r="C609" i="14"/>
  <c r="C638" i="14"/>
  <c r="C667" i="14"/>
  <c r="C671" i="14"/>
  <c r="C700" i="14"/>
  <c r="C711" i="14"/>
  <c r="C727" i="14"/>
  <c r="C734" i="14"/>
  <c r="C757" i="14"/>
  <c r="C787" i="14"/>
  <c r="C810" i="14"/>
  <c r="C863" i="14"/>
  <c r="C870" i="14"/>
  <c r="C886" i="14"/>
  <c r="C893" i="14"/>
  <c r="C917" i="14"/>
  <c r="C939" i="14"/>
  <c r="C961" i="14"/>
  <c r="C39" i="14"/>
  <c r="C56" i="14"/>
  <c r="C186" i="14"/>
  <c r="C289" i="14"/>
  <c r="C334" i="14"/>
  <c r="C356" i="14"/>
  <c r="C381" i="14"/>
  <c r="C395" i="14"/>
  <c r="C448" i="14"/>
  <c r="C456" i="14"/>
  <c r="C111" i="14"/>
  <c r="C226" i="14"/>
  <c r="C263" i="14"/>
  <c r="C272" i="14"/>
  <c r="C305" i="14"/>
  <c r="C363" i="14"/>
  <c r="C429" i="14"/>
  <c r="C535" i="14"/>
  <c r="C558" i="14"/>
  <c r="C627" i="14"/>
  <c r="C629" i="14"/>
  <c r="C631" i="14"/>
  <c r="C650" i="14"/>
  <c r="C736" i="14"/>
  <c r="C763" i="14"/>
  <c r="C790" i="14"/>
  <c r="C796" i="14"/>
  <c r="C73" i="14"/>
  <c r="C119" i="14"/>
  <c r="C317" i="14"/>
  <c r="C407" i="14"/>
  <c r="C451" i="14"/>
  <c r="C500" i="14"/>
  <c r="C526" i="14"/>
  <c r="C549" i="14"/>
  <c r="C589" i="14"/>
  <c r="C644" i="14"/>
  <c r="C646" i="14"/>
  <c r="C684" i="14"/>
  <c r="B43" i="14"/>
  <c r="B65" i="14"/>
  <c r="B87" i="14"/>
  <c r="B109" i="14"/>
  <c r="B131" i="14"/>
  <c r="B153" i="14"/>
  <c r="B60" i="14"/>
  <c r="B82" i="14"/>
  <c r="B104" i="14"/>
  <c r="B126" i="14"/>
  <c r="B148" i="14"/>
  <c r="B170" i="14"/>
  <c r="B55" i="14"/>
  <c r="B77" i="14"/>
  <c r="B99" i="14"/>
  <c r="B121" i="14"/>
  <c r="B143" i="14"/>
  <c r="B165" i="14"/>
  <c r="B50" i="14"/>
  <c r="B45" i="14"/>
  <c r="B47" i="14"/>
  <c r="B49" i="14"/>
  <c r="B51" i="14"/>
  <c r="B53" i="14"/>
  <c r="B95" i="14"/>
  <c r="B101" i="14"/>
  <c r="B144" i="14"/>
  <c r="B150" i="14"/>
  <c r="B185" i="14"/>
  <c r="B207" i="14"/>
  <c r="B229" i="14"/>
  <c r="B251" i="14"/>
  <c r="B273" i="14"/>
  <c r="B97" i="14"/>
  <c r="B103" i="14"/>
  <c r="B146" i="14"/>
  <c r="B152" i="14"/>
  <c r="B180" i="14"/>
  <c r="B39" i="14"/>
  <c r="B105" i="14"/>
  <c r="B111" i="14"/>
  <c r="B154" i="14"/>
  <c r="B160" i="14"/>
  <c r="B175" i="14"/>
  <c r="B41" i="14"/>
  <c r="B72" i="14"/>
  <c r="B115" i="14"/>
  <c r="B158" i="14"/>
  <c r="B164" i="14"/>
  <c r="B187" i="14"/>
  <c r="B89" i="14"/>
  <c r="B94" i="14"/>
  <c r="B132" i="14"/>
  <c r="B137" i="14"/>
  <c r="B200" i="14"/>
  <c r="B209" i="14"/>
  <c r="B232" i="14"/>
  <c r="B248" i="14"/>
  <c r="B70" i="14"/>
  <c r="B106" i="14"/>
  <c r="B149" i="14"/>
  <c r="B202" i="14"/>
  <c r="B225" i="14"/>
  <c r="B40" i="14"/>
  <c r="B118" i="14"/>
  <c r="B123" i="14"/>
  <c r="B161" i="14"/>
  <c r="B166" i="14"/>
  <c r="B177" i="14"/>
  <c r="B83" i="14"/>
  <c r="B86" i="14"/>
  <c r="B108" i="14"/>
  <c r="B181" i="14"/>
  <c r="B196" i="14"/>
  <c r="B198" i="14"/>
  <c r="B208" i="14"/>
  <c r="B233" i="14"/>
  <c r="B246" i="14"/>
  <c r="B271" i="14"/>
  <c r="B287" i="14"/>
  <c r="B294" i="14"/>
  <c r="B316" i="14"/>
  <c r="B338" i="14"/>
  <c r="B46" i="14"/>
  <c r="B52" i="14"/>
  <c r="B172" i="14"/>
  <c r="B179" i="14"/>
  <c r="B194" i="14"/>
  <c r="B210" i="14"/>
  <c r="B264" i="14"/>
  <c r="B280" i="14"/>
  <c r="B311" i="14"/>
  <c r="B333" i="14"/>
  <c r="B355" i="14"/>
  <c r="B58" i="14"/>
  <c r="B64" i="14"/>
  <c r="B75" i="14"/>
  <c r="B78" i="14"/>
  <c r="B100" i="14"/>
  <c r="B122" i="14"/>
  <c r="B125" i="14"/>
  <c r="B212" i="14"/>
  <c r="B214" i="14"/>
  <c r="B218" i="14"/>
  <c r="B235" i="14"/>
  <c r="B128" i="14"/>
  <c r="B69" i="14"/>
  <c r="B76" i="14"/>
  <c r="B79" i="14"/>
  <c r="B96" i="14"/>
  <c r="B133" i="14"/>
  <c r="B136" i="14"/>
  <c r="B156" i="14"/>
  <c r="B215" i="14"/>
  <c r="B239" i="14"/>
  <c r="B277" i="14"/>
  <c r="B298" i="14"/>
  <c r="B322" i="14"/>
  <c r="B335" i="14"/>
  <c r="B344" i="14"/>
  <c r="B367" i="14"/>
  <c r="B384" i="14"/>
  <c r="B406" i="14"/>
  <c r="B428" i="14"/>
  <c r="B66" i="14"/>
  <c r="B206" i="14"/>
  <c r="B222" i="14"/>
  <c r="B237" i="14"/>
  <c r="B279" i="14"/>
  <c r="B379" i="14"/>
  <c r="B401" i="14"/>
  <c r="B423" i="14"/>
  <c r="B48" i="14"/>
  <c r="B204" i="14"/>
  <c r="B213" i="14"/>
  <c r="B281" i="14"/>
  <c r="B300" i="14"/>
  <c r="B313" i="14"/>
  <c r="B59" i="14"/>
  <c r="B113" i="14"/>
  <c r="B140" i="14"/>
  <c r="B169" i="14"/>
  <c r="B190" i="14"/>
  <c r="B195" i="14"/>
  <c r="B220" i="14"/>
  <c r="B250" i="14"/>
  <c r="B252" i="14"/>
  <c r="B135" i="14"/>
  <c r="B242" i="14"/>
  <c r="B304" i="14"/>
  <c r="B358" i="14"/>
  <c r="B364" i="14"/>
  <c r="B390" i="14"/>
  <c r="B403" i="14"/>
  <c r="B414" i="14"/>
  <c r="B436" i="14"/>
  <c r="B450" i="14"/>
  <c r="B472" i="14"/>
  <c r="B494" i="14"/>
  <c r="B54" i="14"/>
  <c r="B127" i="14"/>
  <c r="B139" i="14"/>
  <c r="B211" i="14"/>
  <c r="B257" i="14"/>
  <c r="B302" i="14"/>
  <c r="B337" i="14"/>
  <c r="B339" i="14"/>
  <c r="B341" i="14"/>
  <c r="B71" i="14"/>
  <c r="B91" i="14"/>
  <c r="B119" i="14"/>
  <c r="B151" i="14"/>
  <c r="B155" i="14"/>
  <c r="B227" i="14"/>
  <c r="B247" i="14"/>
  <c r="B323" i="14"/>
  <c r="B325" i="14"/>
  <c r="B327" i="14"/>
  <c r="B329" i="14"/>
  <c r="B331" i="14"/>
  <c r="B267" i="14"/>
  <c r="B307" i="14"/>
  <c r="B342" i="14"/>
  <c r="B368" i="14"/>
  <c r="B424" i="14"/>
  <c r="B441" i="14"/>
  <c r="B480" i="14"/>
  <c r="B191" i="14"/>
  <c r="B245" i="14"/>
  <c r="B259" i="14"/>
  <c r="B262" i="14"/>
  <c r="B295" i="14"/>
  <c r="B351" i="14"/>
  <c r="B366" i="14"/>
  <c r="B378" i="14"/>
  <c r="B426" i="14"/>
  <c r="B466" i="14"/>
  <c r="B473" i="14"/>
  <c r="B489" i="14"/>
  <c r="B496" i="14"/>
  <c r="B503" i="14"/>
  <c r="B525" i="14"/>
  <c r="B42" i="14"/>
  <c r="B90" i="14"/>
  <c r="B216" i="14"/>
  <c r="B219" i="14"/>
  <c r="B314" i="14"/>
  <c r="B319" i="14"/>
  <c r="B326" i="14"/>
  <c r="B340" i="14"/>
  <c r="B349" i="14"/>
  <c r="B80" i="14"/>
  <c r="B117" i="14"/>
  <c r="B205" i="14"/>
  <c r="B236" i="14"/>
  <c r="B268" i="14"/>
  <c r="B223" i="14"/>
  <c r="B324" i="14"/>
  <c r="B350" i="14"/>
  <c r="B464" i="14"/>
  <c r="B468" i="14"/>
  <c r="B507" i="14"/>
  <c r="B545" i="14"/>
  <c r="B567" i="14"/>
  <c r="B188" i="14"/>
  <c r="B249" i="14"/>
  <c r="B265" i="14"/>
  <c r="B283" i="14"/>
  <c r="B308" i="14"/>
  <c r="B376" i="14"/>
  <c r="B399" i="14"/>
  <c r="B445" i="14"/>
  <c r="B470" i="14"/>
  <c r="B487" i="14"/>
  <c r="B500" i="14"/>
  <c r="B523" i="14"/>
  <c r="B540" i="14"/>
  <c r="B129" i="14"/>
  <c r="B159" i="14"/>
  <c r="B174" i="14"/>
  <c r="B192" i="14"/>
  <c r="B284" i="14"/>
  <c r="B346" i="14"/>
  <c r="B398" i="14"/>
  <c r="B432" i="14"/>
  <c r="B462" i="14"/>
  <c r="B477" i="14"/>
  <c r="B511" i="14"/>
  <c r="B532" i="14"/>
  <c r="B543" i="14"/>
  <c r="B556" i="14"/>
  <c r="B565" i="14"/>
  <c r="B572" i="14"/>
  <c r="B603" i="14"/>
  <c r="B625" i="14"/>
  <c r="B647" i="14"/>
  <c r="B669" i="14"/>
  <c r="B691" i="14"/>
  <c r="B713" i="14"/>
  <c r="B735" i="14"/>
  <c r="B757" i="14"/>
  <c r="B779" i="14"/>
  <c r="B801" i="14"/>
  <c r="B823" i="14"/>
  <c r="B845" i="14"/>
  <c r="B867" i="14"/>
  <c r="B889" i="14"/>
  <c r="B44" i="14"/>
  <c r="B57" i="14"/>
  <c r="B112" i="14"/>
  <c r="B183" i="14"/>
  <c r="B332" i="14"/>
  <c r="B475" i="14"/>
  <c r="B581" i="14"/>
  <c r="B598" i="14"/>
  <c r="B620" i="14"/>
  <c r="B642" i="14"/>
  <c r="B664" i="14"/>
  <c r="B686" i="14"/>
  <c r="B708" i="14"/>
  <c r="B142" i="14"/>
  <c r="B278" i="14"/>
  <c r="B297" i="14"/>
  <c r="B312" i="14"/>
  <c r="B315" i="14"/>
  <c r="B357" i="14"/>
  <c r="B365" i="14"/>
  <c r="B375" i="14"/>
  <c r="B382" i="14"/>
  <c r="B407" i="14"/>
  <c r="B460" i="14"/>
  <c r="B513" i="14"/>
  <c r="B515" i="14"/>
  <c r="B534" i="14"/>
  <c r="B558" i="14"/>
  <c r="B574" i="14"/>
  <c r="B593" i="14"/>
  <c r="B615" i="14"/>
  <c r="B637" i="14"/>
  <c r="B659" i="14"/>
  <c r="B681" i="14"/>
  <c r="B68" i="14"/>
  <c r="B88" i="14"/>
  <c r="B167" i="14"/>
  <c r="B261" i="14"/>
  <c r="B306" i="14"/>
  <c r="B495" i="14"/>
  <c r="B517" i="14"/>
  <c r="B549" i="14"/>
  <c r="B607" i="14"/>
  <c r="B636" i="14"/>
  <c r="B665" i="14"/>
  <c r="B694" i="14"/>
  <c r="B718" i="14"/>
  <c r="B741" i="14"/>
  <c r="B764" i="14"/>
  <c r="B794" i="14"/>
  <c r="B817" i="14"/>
  <c r="B824" i="14"/>
  <c r="B840" i="14"/>
  <c r="B847" i="14"/>
  <c r="B877" i="14"/>
  <c r="B900" i="14"/>
  <c r="B922" i="14"/>
  <c r="B944" i="14"/>
  <c r="B966" i="14"/>
  <c r="B988" i="14"/>
  <c r="B1010" i="14"/>
  <c r="B1032" i="14"/>
  <c r="B61" i="14"/>
  <c r="B193" i="14"/>
  <c r="B269" i="14"/>
  <c r="B292" i="14"/>
  <c r="B74" i="14"/>
  <c r="B178" i="14"/>
  <c r="B241" i="14"/>
  <c r="B254" i="14"/>
  <c r="B258" i="14"/>
  <c r="B285" i="14"/>
  <c r="B299" i="14"/>
  <c r="B352" i="14"/>
  <c r="B383" i="14"/>
  <c r="B430" i="14"/>
  <c r="B493" i="14"/>
  <c r="B504" i="14"/>
  <c r="B506" i="14"/>
  <c r="B611" i="14"/>
  <c r="B640" i="14"/>
  <c r="B644" i="14"/>
  <c r="B673" i="14"/>
  <c r="B720" i="14"/>
  <c r="B750" i="14"/>
  <c r="B773" i="14"/>
  <c r="B780" i="14"/>
  <c r="B796" i="14"/>
  <c r="B803" i="14"/>
  <c r="B833" i="14"/>
  <c r="B856" i="14"/>
  <c r="B879" i="14"/>
  <c r="B912" i="14"/>
  <c r="B934" i="14"/>
  <c r="B956" i="14"/>
  <c r="L7" i="2"/>
  <c r="C23" i="2"/>
  <c r="L11" i="2"/>
  <c r="G6" i="1" s="1"/>
  <c r="H6" i="1" s="1"/>
  <c r="F23" i="2"/>
  <c r="F122" i="14"/>
  <c r="F127" i="14"/>
  <c r="F196" i="14"/>
  <c r="F214" i="14"/>
  <c r="F237" i="14"/>
  <c r="F96" i="14"/>
  <c r="F139" i="14"/>
  <c r="F207" i="14"/>
  <c r="F42" i="14"/>
  <c r="F60" i="14"/>
  <c r="F70" i="14"/>
  <c r="F108" i="14"/>
  <c r="F113" i="14"/>
  <c r="F156" i="14"/>
  <c r="F41" i="14"/>
  <c r="F63" i="14"/>
  <c r="F85" i="14"/>
  <c r="F107" i="14"/>
  <c r="F129" i="14"/>
  <c r="F151" i="14"/>
  <c r="F58" i="14"/>
  <c r="F80" i="14"/>
  <c r="F102" i="14"/>
  <c r="F124" i="14"/>
  <c r="F146" i="14"/>
  <c r="F168" i="14"/>
  <c r="F53" i="14"/>
  <c r="F75" i="14"/>
  <c r="F97" i="14"/>
  <c r="F119" i="14"/>
  <c r="F141" i="14"/>
  <c r="F163" i="14"/>
  <c r="F48" i="14"/>
  <c r="F55" i="14"/>
  <c r="F57" i="14"/>
  <c r="F59" i="14"/>
  <c r="F61" i="14"/>
  <c r="F81" i="14"/>
  <c r="F87" i="14"/>
  <c r="F130" i="14"/>
  <c r="F136" i="14"/>
  <c r="F183" i="14"/>
  <c r="F205" i="14"/>
  <c r="F227" i="14"/>
  <c r="F249" i="14"/>
  <c r="F271" i="14"/>
  <c r="F83" i="14"/>
  <c r="F89" i="14"/>
  <c r="F132" i="14"/>
  <c r="F138" i="14"/>
  <c r="F178" i="14"/>
  <c r="F91" i="14"/>
  <c r="F134" i="14"/>
  <c r="F140" i="14"/>
  <c r="F173" i="14"/>
  <c r="F43" i="14"/>
  <c r="F45" i="14"/>
  <c r="F47" i="14"/>
  <c r="F49" i="14"/>
  <c r="F51" i="14"/>
  <c r="F95" i="14"/>
  <c r="F101" i="14"/>
  <c r="F144" i="14"/>
  <c r="F150" i="14"/>
  <c r="F185" i="14"/>
  <c r="F84" i="14"/>
  <c r="F79" i="14"/>
  <c r="F52" i="14"/>
  <c r="C48" i="14"/>
  <c r="C70" i="14"/>
  <c r="C92" i="14"/>
  <c r="C114" i="14"/>
  <c r="C136" i="14"/>
  <c r="C158" i="14"/>
  <c r="C43" i="14"/>
  <c r="C65" i="14"/>
  <c r="C87" i="14"/>
  <c r="C109" i="14"/>
  <c r="C131" i="14"/>
  <c r="C153" i="14"/>
  <c r="C60" i="14"/>
  <c r="C82" i="14"/>
  <c r="C104" i="14"/>
  <c r="C126" i="14"/>
  <c r="C148" i="14"/>
  <c r="C170" i="14"/>
  <c r="C55" i="14"/>
  <c r="G3" i="1"/>
  <c r="C53" i="14"/>
  <c r="C51" i="14"/>
  <c r="C49" i="14"/>
  <c r="C47" i="14"/>
  <c r="C45" i="14"/>
  <c r="C142" i="14"/>
  <c r="C99" i="14"/>
  <c r="C93" i="14"/>
  <c r="E3" i="12" l="1"/>
  <c r="G3" i="12" s="1"/>
  <c r="C13" i="12" s="1"/>
  <c r="D19" i="12"/>
  <c r="C14" i="12"/>
  <c r="I9" i="20"/>
  <c r="F13" i="20"/>
  <c r="I13" i="20" s="1"/>
  <c r="H51" i="14"/>
  <c r="H73" i="14"/>
  <c r="H95" i="14"/>
  <c r="H117" i="14"/>
  <c r="H139" i="14"/>
  <c r="I139" i="14" s="1"/>
  <c r="H161" i="14"/>
  <c r="I161" i="14" s="1"/>
  <c r="H46" i="14"/>
  <c r="L46" i="14" s="1"/>
  <c r="H68" i="14"/>
  <c r="H90" i="14"/>
  <c r="J90" i="14" s="1"/>
  <c r="H112" i="14"/>
  <c r="J112" i="14" s="1"/>
  <c r="H134" i="14"/>
  <c r="H156" i="14"/>
  <c r="H41" i="14"/>
  <c r="J41" i="14" s="1"/>
  <c r="H63" i="14"/>
  <c r="H85" i="14"/>
  <c r="M85" i="14" s="1"/>
  <c r="H107" i="14"/>
  <c r="I107" i="14" s="1"/>
  <c r="H129" i="14"/>
  <c r="H151" i="14"/>
  <c r="L151" i="14" s="1"/>
  <c r="H58" i="14"/>
  <c r="L58" i="14" s="1"/>
  <c r="H71" i="14"/>
  <c r="H77" i="14"/>
  <c r="J77" i="14" s="1"/>
  <c r="H120" i="14"/>
  <c r="K120" i="14" s="1"/>
  <c r="H126" i="14"/>
  <c r="L126" i="14" s="1"/>
  <c r="H169" i="14"/>
  <c r="H193" i="14"/>
  <c r="J193" i="14" s="1"/>
  <c r="H215" i="14"/>
  <c r="H237" i="14"/>
  <c r="J237" i="14" s="1"/>
  <c r="H259" i="14"/>
  <c r="K259" i="14" s="1"/>
  <c r="H281" i="14"/>
  <c r="K281" i="14" s="1"/>
  <c r="H79" i="14"/>
  <c r="I79" i="14" s="1"/>
  <c r="H122" i="14"/>
  <c r="H128" i="14"/>
  <c r="J128" i="14" s="1"/>
  <c r="H171" i="14"/>
  <c r="H188" i="14"/>
  <c r="H53" i="14"/>
  <c r="J53" i="14" s="1"/>
  <c r="H55" i="14"/>
  <c r="H57" i="14"/>
  <c r="K57" i="14" s="1"/>
  <c r="H59" i="14"/>
  <c r="L59" i="14" s="1"/>
  <c r="H61" i="14"/>
  <c r="H81" i="14"/>
  <c r="I81" i="14" s="1"/>
  <c r="H87" i="14"/>
  <c r="M87" i="14" s="1"/>
  <c r="H130" i="14"/>
  <c r="K130" i="14" s="1"/>
  <c r="H136" i="14"/>
  <c r="L136" i="14" s="1"/>
  <c r="H91" i="14"/>
  <c r="I91" i="14" s="1"/>
  <c r="H97" i="14"/>
  <c r="L97" i="14" s="1"/>
  <c r="H140" i="14"/>
  <c r="K140" i="14" s="1"/>
  <c r="H146" i="14"/>
  <c r="H173" i="14"/>
  <c r="K173" i="14" s="1"/>
  <c r="H195" i="14"/>
  <c r="K195" i="14" s="1"/>
  <c r="H44" i="14"/>
  <c r="K44" i="14" s="1"/>
  <c r="H62" i="14"/>
  <c r="H98" i="14"/>
  <c r="H103" i="14"/>
  <c r="H186" i="14"/>
  <c r="H192" i="14"/>
  <c r="H205" i="14"/>
  <c r="H228" i="14"/>
  <c r="I228" i="14" s="1"/>
  <c r="H244" i="14"/>
  <c r="K244" i="14" s="1"/>
  <c r="H47" i="14"/>
  <c r="M47" i="14" s="1"/>
  <c r="H67" i="14"/>
  <c r="K67" i="14" s="1"/>
  <c r="H72" i="14"/>
  <c r="K72" i="14" s="1"/>
  <c r="H110" i="14"/>
  <c r="I110" i="14" s="1"/>
  <c r="H115" i="14"/>
  <c r="M115" i="14" s="1"/>
  <c r="H194" i="14"/>
  <c r="H221" i="14"/>
  <c r="K221" i="14" s="1"/>
  <c r="H52" i="14"/>
  <c r="J52" i="14" s="1"/>
  <c r="H84" i="14"/>
  <c r="J84" i="14" s="1"/>
  <c r="H127" i="14"/>
  <c r="H163" i="14"/>
  <c r="H168" i="14"/>
  <c r="J168" i="14" s="1"/>
  <c r="H54" i="14"/>
  <c r="M54" i="14" s="1"/>
  <c r="H88" i="14"/>
  <c r="K88" i="14" s="1"/>
  <c r="H187" i="14"/>
  <c r="H227" i="14"/>
  <c r="H267" i="14"/>
  <c r="H283" i="14"/>
  <c r="H302" i="14"/>
  <c r="H324" i="14"/>
  <c r="H43" i="14"/>
  <c r="L43" i="14" s="1"/>
  <c r="H66" i="14"/>
  <c r="H94" i="14"/>
  <c r="H116" i="14"/>
  <c r="K116" i="14" s="1"/>
  <c r="H119" i="14"/>
  <c r="H141" i="14"/>
  <c r="I141" i="14" s="1"/>
  <c r="H144" i="14"/>
  <c r="L144" i="14" s="1"/>
  <c r="H166" i="14"/>
  <c r="H176" i="14"/>
  <c r="J176" i="14" s="1"/>
  <c r="H185" i="14"/>
  <c r="J185" i="14" s="1"/>
  <c r="H240" i="14"/>
  <c r="H260" i="14"/>
  <c r="L260" i="14" s="1"/>
  <c r="H276" i="14"/>
  <c r="H297" i="14"/>
  <c r="H319" i="14"/>
  <c r="J319" i="14" s="1"/>
  <c r="H341" i="14"/>
  <c r="I341" i="14" s="1"/>
  <c r="H363" i="14"/>
  <c r="L363" i="14" s="1"/>
  <c r="H105" i="14"/>
  <c r="H229" i="14"/>
  <c r="H253" i="14"/>
  <c r="L253" i="14" s="1"/>
  <c r="H40" i="14"/>
  <c r="H83" i="14"/>
  <c r="M83" i="14" s="1"/>
  <c r="H108" i="14"/>
  <c r="I108" i="14" s="1"/>
  <c r="H111" i="14"/>
  <c r="J111" i="14" s="1"/>
  <c r="H133" i="14"/>
  <c r="M133" i="14" s="1"/>
  <c r="H174" i="14"/>
  <c r="J174" i="14" s="1"/>
  <c r="H230" i="14"/>
  <c r="H249" i="14"/>
  <c r="K249" i="14" s="1"/>
  <c r="H263" i="14"/>
  <c r="M263" i="14" s="1"/>
  <c r="H290" i="14"/>
  <c r="H292" i="14"/>
  <c r="I292" i="14" s="1"/>
  <c r="H316" i="14"/>
  <c r="J316" i="14" s="1"/>
  <c r="H340" i="14"/>
  <c r="H370" i="14"/>
  <c r="M370" i="14" s="1"/>
  <c r="H392" i="14"/>
  <c r="H414" i="14"/>
  <c r="H436" i="14"/>
  <c r="L436" i="14" s="1"/>
  <c r="H162" i="14"/>
  <c r="I162" i="14" s="1"/>
  <c r="H177" i="14"/>
  <c r="K177" i="14" s="1"/>
  <c r="H199" i="14"/>
  <c r="H219" i="14"/>
  <c r="L219" i="14" s="1"/>
  <c r="H265" i="14"/>
  <c r="H305" i="14"/>
  <c r="H329" i="14"/>
  <c r="H387" i="14"/>
  <c r="J387" i="14" s="1"/>
  <c r="H409" i="14"/>
  <c r="L409" i="14" s="1"/>
  <c r="H431" i="14"/>
  <c r="M431" i="14" s="1"/>
  <c r="H106" i="14"/>
  <c r="I106" i="14" s="1"/>
  <c r="H149" i="14"/>
  <c r="H165" i="14"/>
  <c r="J165" i="14" s="1"/>
  <c r="H208" i="14"/>
  <c r="J208" i="14" s="1"/>
  <c r="H226" i="14"/>
  <c r="H247" i="14"/>
  <c r="I247" i="14" s="1"/>
  <c r="H269" i="14"/>
  <c r="H271" i="14"/>
  <c r="L271" i="14" s="1"/>
  <c r="H294" i="14"/>
  <c r="L294" i="14" s="1"/>
  <c r="H318" i="14"/>
  <c r="H69" i="14"/>
  <c r="K69" i="14" s="1"/>
  <c r="H96" i="14"/>
  <c r="H123" i="14"/>
  <c r="L123" i="14" s="1"/>
  <c r="H182" i="14"/>
  <c r="H197" i="14"/>
  <c r="H217" i="14"/>
  <c r="H241" i="14"/>
  <c r="H243" i="14"/>
  <c r="I243" i="14" s="1"/>
  <c r="H245" i="14"/>
  <c r="H273" i="14"/>
  <c r="K273" i="14" s="1"/>
  <c r="H158" i="14"/>
  <c r="H179" i="14"/>
  <c r="K179" i="14" s="1"/>
  <c r="H210" i="14"/>
  <c r="K210" i="14" s="1"/>
  <c r="H254" i="14"/>
  <c r="H261" i="14"/>
  <c r="M261" i="14" s="1"/>
  <c r="H266" i="14"/>
  <c r="M266" i="14" s="1"/>
  <c r="H284" i="14"/>
  <c r="M284" i="14" s="1"/>
  <c r="H350" i="14"/>
  <c r="H384" i="14"/>
  <c r="K384" i="14" s="1"/>
  <c r="H408" i="14"/>
  <c r="K408" i="14" s="1"/>
  <c r="H421" i="14"/>
  <c r="I421" i="14" s="1"/>
  <c r="H432" i="14"/>
  <c r="M432" i="14" s="1"/>
  <c r="H458" i="14"/>
  <c r="H480" i="14"/>
  <c r="H74" i="14"/>
  <c r="M74" i="14" s="1"/>
  <c r="H99" i="14"/>
  <c r="H213" i="14"/>
  <c r="H224" i="14"/>
  <c r="H293" i="14"/>
  <c r="J293" i="14" s="1"/>
  <c r="H295" i="14"/>
  <c r="H314" i="14"/>
  <c r="J314" i="14" s="1"/>
  <c r="H352" i="14"/>
  <c r="H131" i="14"/>
  <c r="K131" i="14" s="1"/>
  <c r="H147" i="14"/>
  <c r="J147" i="14" s="1"/>
  <c r="H191" i="14"/>
  <c r="L191" i="14" s="1"/>
  <c r="H200" i="14"/>
  <c r="M200" i="14" s="1"/>
  <c r="H216" i="14"/>
  <c r="M216" i="14" s="1"/>
  <c r="H234" i="14"/>
  <c r="L234" i="14" s="1"/>
  <c r="H282" i="14"/>
  <c r="L282" i="14" s="1"/>
  <c r="H291" i="14"/>
  <c r="J291" i="14" s="1"/>
  <c r="H89" i="14"/>
  <c r="I89" i="14" s="1"/>
  <c r="H121" i="14"/>
  <c r="L121" i="14" s="1"/>
  <c r="H148" i="14"/>
  <c r="H152" i="14"/>
  <c r="H233" i="14"/>
  <c r="H264" i="14"/>
  <c r="H323" i="14"/>
  <c r="H330" i="14"/>
  <c r="M330" i="14" s="1"/>
  <c r="H337" i="14"/>
  <c r="H361" i="14"/>
  <c r="H389" i="14"/>
  <c r="H412" i="14"/>
  <c r="H416" i="14"/>
  <c r="J416" i="14" s="1"/>
  <c r="H435" i="14"/>
  <c r="M435" i="14" s="1"/>
  <c r="H446" i="14"/>
  <c r="H469" i="14"/>
  <c r="H476" i="14"/>
  <c r="H75" i="14"/>
  <c r="I75" i="14" s="1"/>
  <c r="H209" i="14"/>
  <c r="J209" i="14" s="1"/>
  <c r="H212" i="14"/>
  <c r="H239" i="14"/>
  <c r="H277" i="14"/>
  <c r="K277" i="14" s="1"/>
  <c r="H309" i="14"/>
  <c r="L309" i="14" s="1"/>
  <c r="H346" i="14"/>
  <c r="H359" i="14"/>
  <c r="H391" i="14"/>
  <c r="M391" i="14" s="1"/>
  <c r="H418" i="14"/>
  <c r="L418" i="14" s="1"/>
  <c r="H462" i="14"/>
  <c r="H492" i="14"/>
  <c r="H511" i="14"/>
  <c r="H80" i="14"/>
  <c r="I80" i="14" s="1"/>
  <c r="H242" i="14"/>
  <c r="H256" i="14"/>
  <c r="H285" i="14"/>
  <c r="H335" i="14"/>
  <c r="H355" i="14"/>
  <c r="J355" i="14" s="1"/>
  <c r="H357" i="14"/>
  <c r="M357" i="14" s="1"/>
  <c r="H252" i="14"/>
  <c r="I252" i="14" s="1"/>
  <c r="H137" i="14"/>
  <c r="K137" i="14" s="1"/>
  <c r="H157" i="14"/>
  <c r="I157" i="14" s="1"/>
  <c r="H255" i="14"/>
  <c r="K255" i="14" s="1"/>
  <c r="H258" i="14"/>
  <c r="I258" i="14" s="1"/>
  <c r="H342" i="14"/>
  <c r="L342" i="14" s="1"/>
  <c r="H347" i="14"/>
  <c r="H386" i="14"/>
  <c r="K386" i="14" s="1"/>
  <c r="H428" i="14"/>
  <c r="K428" i="14" s="1"/>
  <c r="H452" i="14"/>
  <c r="J452" i="14" s="1"/>
  <c r="H479" i="14"/>
  <c r="H503" i="14"/>
  <c r="I503" i="14" s="1"/>
  <c r="H531" i="14"/>
  <c r="M531" i="14" s="1"/>
  <c r="H553" i="14"/>
  <c r="L553" i="14" s="1"/>
  <c r="H575" i="14"/>
  <c r="H42" i="14"/>
  <c r="H64" i="14"/>
  <c r="H132" i="14"/>
  <c r="H153" i="14"/>
  <c r="H310" i="14"/>
  <c r="H321" i="14"/>
  <c r="L321" i="14" s="1"/>
  <c r="H369" i="14"/>
  <c r="H407" i="14"/>
  <c r="K407" i="14" s="1"/>
  <c r="H426" i="14"/>
  <c r="J426" i="14" s="1"/>
  <c r="H454" i="14"/>
  <c r="M454" i="14" s="1"/>
  <c r="H481" i="14"/>
  <c r="M481" i="14" s="1"/>
  <c r="H494" i="14"/>
  <c r="L494" i="14" s="1"/>
  <c r="H519" i="14"/>
  <c r="K519" i="14" s="1"/>
  <c r="H526" i="14"/>
  <c r="L526" i="14" s="1"/>
  <c r="H548" i="14"/>
  <c r="J548" i="14" s="1"/>
  <c r="H50" i="14"/>
  <c r="K50" i="14" s="1"/>
  <c r="H100" i="14"/>
  <c r="H203" i="14"/>
  <c r="I203" i="14" s="1"/>
  <c r="H207" i="14"/>
  <c r="H223" i="14"/>
  <c r="H317" i="14"/>
  <c r="J317" i="14" s="1"/>
  <c r="H334" i="14"/>
  <c r="L334" i="14" s="1"/>
  <c r="H367" i="14"/>
  <c r="H379" i="14"/>
  <c r="H404" i="14"/>
  <c r="H429" i="14"/>
  <c r="H447" i="14"/>
  <c r="H451" i="14"/>
  <c r="M451" i="14" s="1"/>
  <c r="H466" i="14"/>
  <c r="H550" i="14"/>
  <c r="L550" i="14" s="1"/>
  <c r="H561" i="14"/>
  <c r="M561" i="14" s="1"/>
  <c r="H568" i="14"/>
  <c r="H589" i="14"/>
  <c r="H611" i="14"/>
  <c r="J611" i="14" s="1"/>
  <c r="H633" i="14"/>
  <c r="H655" i="14"/>
  <c r="H677" i="14"/>
  <c r="K677" i="14" s="1"/>
  <c r="H699" i="14"/>
  <c r="H721" i="14"/>
  <c r="H743" i="14"/>
  <c r="M743" i="14" s="1"/>
  <c r="H765" i="14"/>
  <c r="H787" i="14"/>
  <c r="I787" i="14" s="1"/>
  <c r="H809" i="14"/>
  <c r="H831" i="14"/>
  <c r="H853" i="14"/>
  <c r="H875" i="14"/>
  <c r="M875" i="14" s="1"/>
  <c r="H897" i="14"/>
  <c r="H76" i="14"/>
  <c r="H135" i="14"/>
  <c r="J135" i="14" s="1"/>
  <c r="H178" i="14"/>
  <c r="I178" i="14" s="1"/>
  <c r="H270" i="14"/>
  <c r="K270" i="14" s="1"/>
  <c r="H287" i="14"/>
  <c r="H343" i="14"/>
  <c r="M343" i="14" s="1"/>
  <c r="H362" i="14"/>
  <c r="M362" i="14" s="1"/>
  <c r="H393" i="14"/>
  <c r="I393" i="14" s="1"/>
  <c r="H411" i="14"/>
  <c r="J411" i="14" s="1"/>
  <c r="H445" i="14"/>
  <c r="I445" i="14" s="1"/>
  <c r="H449" i="14"/>
  <c r="H464" i="14"/>
  <c r="M464" i="14" s="1"/>
  <c r="H487" i="14"/>
  <c r="H489" i="14"/>
  <c r="H491" i="14"/>
  <c r="H524" i="14"/>
  <c r="M524" i="14" s="1"/>
  <c r="H577" i="14"/>
  <c r="L577" i="14" s="1"/>
  <c r="H584" i="14"/>
  <c r="I584" i="14" s="1"/>
  <c r="H606" i="14"/>
  <c r="L606" i="14" s="1"/>
  <c r="H628" i="14"/>
  <c r="L628" i="14" s="1"/>
  <c r="H650" i="14"/>
  <c r="H672" i="14"/>
  <c r="H694" i="14"/>
  <c r="H70" i="14"/>
  <c r="K70" i="14" s="1"/>
  <c r="H183" i="14"/>
  <c r="I183" i="14" s="1"/>
  <c r="H196" i="14"/>
  <c r="J196" i="14" s="1"/>
  <c r="H300" i="14"/>
  <c r="L300" i="14" s="1"/>
  <c r="H320" i="14"/>
  <c r="J320" i="14" s="1"/>
  <c r="H326" i="14"/>
  <c r="H354" i="14"/>
  <c r="J354" i="14" s="1"/>
  <c r="H485" i="14"/>
  <c r="J485" i="14" s="1"/>
  <c r="H493" i="14"/>
  <c r="H495" i="14"/>
  <c r="H497" i="14"/>
  <c r="K497" i="14" s="1"/>
  <c r="H499" i="14"/>
  <c r="L499" i="14" s="1"/>
  <c r="H501" i="14"/>
  <c r="J501" i="14" s="1"/>
  <c r="H528" i="14"/>
  <c r="H539" i="14"/>
  <c r="H552" i="14"/>
  <c r="J552" i="14" s="1"/>
  <c r="H570" i="14"/>
  <c r="I570" i="14" s="1"/>
  <c r="H601" i="14"/>
  <c r="L601" i="14" s="1"/>
  <c r="H623" i="14"/>
  <c r="H645" i="14"/>
  <c r="H667" i="14"/>
  <c r="K667" i="14" s="1"/>
  <c r="H689" i="14"/>
  <c r="K689" i="14" s="1"/>
  <c r="H172" i="14"/>
  <c r="H201" i="14"/>
  <c r="I201" i="14" s="1"/>
  <c r="H257" i="14"/>
  <c r="I257" i="14" s="1"/>
  <c r="H338" i="14"/>
  <c r="K338" i="14" s="1"/>
  <c r="H390" i="14"/>
  <c r="L390" i="14" s="1"/>
  <c r="H424" i="14"/>
  <c r="I424" i="14" s="1"/>
  <c r="H521" i="14"/>
  <c r="J521" i="14" s="1"/>
  <c r="H538" i="14"/>
  <c r="H540" i="14"/>
  <c r="H542" i="14"/>
  <c r="H544" i="14"/>
  <c r="M544" i="14" s="1"/>
  <c r="H571" i="14"/>
  <c r="H573" i="14"/>
  <c r="L573" i="14" s="1"/>
  <c r="H593" i="14"/>
  <c r="J593" i="14" s="1"/>
  <c r="H622" i="14"/>
  <c r="K622" i="14" s="1"/>
  <c r="H651" i="14"/>
  <c r="K651" i="14" s="1"/>
  <c r="H680" i="14"/>
  <c r="J680" i="14" s="1"/>
  <c r="H684" i="14"/>
  <c r="H705" i="14"/>
  <c r="H714" i="14"/>
  <c r="H730" i="14"/>
  <c r="H737" i="14"/>
  <c r="H760" i="14"/>
  <c r="H790" i="14"/>
  <c r="H813" i="14"/>
  <c r="H843" i="14"/>
  <c r="J843" i="14" s="1"/>
  <c r="H873" i="14"/>
  <c r="H896" i="14"/>
  <c r="H908" i="14"/>
  <c r="J908" i="14" s="1"/>
  <c r="H930" i="14"/>
  <c r="M930" i="14" s="1"/>
  <c r="H952" i="14"/>
  <c r="H974" i="14"/>
  <c r="H996" i="14"/>
  <c r="H1018" i="14"/>
  <c r="H325" i="14"/>
  <c r="H45" i="14"/>
  <c r="J45" i="14" s="1"/>
  <c r="H143" i="14"/>
  <c r="L143" i="14" s="1"/>
  <c r="H155" i="14"/>
  <c r="L155" i="14" s="1"/>
  <c r="H206" i="14"/>
  <c r="I206" i="14" s="1"/>
  <c r="H220" i="14"/>
  <c r="H232" i="14"/>
  <c r="H288" i="14"/>
  <c r="H102" i="14"/>
  <c r="J102" i="14" s="1"/>
  <c r="H109" i="14"/>
  <c r="I109" i="14" s="1"/>
  <c r="H202" i="14"/>
  <c r="H306" i="14"/>
  <c r="K306" i="14" s="1"/>
  <c r="H372" i="14"/>
  <c r="J372" i="14" s="1"/>
  <c r="H380" i="14"/>
  <c r="M380" i="14" s="1"/>
  <c r="H385" i="14"/>
  <c r="L385" i="14" s="1"/>
  <c r="H401" i="14"/>
  <c r="H536" i="14"/>
  <c r="I536" i="14" s="1"/>
  <c r="H557" i="14"/>
  <c r="K557" i="14" s="1"/>
  <c r="H624" i="14"/>
  <c r="H630" i="14"/>
  <c r="H659" i="14"/>
  <c r="H688" i="14"/>
  <c r="I688" i="14" s="1"/>
  <c r="H716" i="14"/>
  <c r="I716" i="14" s="1"/>
  <c r="H746" i="14"/>
  <c r="K746" i="14" s="1"/>
  <c r="H769" i="14"/>
  <c r="H799" i="14"/>
  <c r="I799" i="14" s="1"/>
  <c r="H829" i="14"/>
  <c r="H852" i="14"/>
  <c r="K852" i="14" s="1"/>
  <c r="H920" i="14"/>
  <c r="H942" i="14"/>
  <c r="H964" i="14"/>
  <c r="H104" i="14"/>
  <c r="H180" i="14"/>
  <c r="H211" i="14"/>
  <c r="K211" i="14" s="1"/>
  <c r="H308" i="14"/>
  <c r="H434" i="14"/>
  <c r="L434" i="14" s="1"/>
  <c r="H477" i="14"/>
  <c r="L477" i="14" s="1"/>
  <c r="H482" i="14"/>
  <c r="H506" i="14"/>
  <c r="L506" i="14" s="1"/>
  <c r="H250" i="14"/>
  <c r="H312" i="14"/>
  <c r="H353" i="14"/>
  <c r="I353" i="14" s="1"/>
  <c r="H356" i="14"/>
  <c r="L356" i="14" s="1"/>
  <c r="H366" i="14"/>
  <c r="H378" i="14"/>
  <c r="H406" i="14"/>
  <c r="J406" i="14" s="1"/>
  <c r="H437" i="14"/>
  <c r="M437" i="14" s="1"/>
  <c r="H453" i="14"/>
  <c r="J453" i="14" s="1"/>
  <c r="H461" i="14"/>
  <c r="M461" i="14" s="1"/>
  <c r="H523" i="14"/>
  <c r="J523" i="14" s="1"/>
  <c r="H582" i="14"/>
  <c r="M582" i="14" s="1"/>
  <c r="H597" i="14"/>
  <c r="H599" i="14"/>
  <c r="H639" i="14"/>
  <c r="H641" i="14"/>
  <c r="H654" i="14"/>
  <c r="J654" i="14" s="1"/>
  <c r="H656" i="14"/>
  <c r="M656" i="14" s="1"/>
  <c r="H658" i="14"/>
  <c r="L658" i="14" s="1"/>
  <c r="H660" i="14"/>
  <c r="H675" i="14"/>
  <c r="M675" i="14" s="1"/>
  <c r="H724" i="14"/>
  <c r="I724" i="14" s="1"/>
  <c r="H751" i="14"/>
  <c r="H753" i="14"/>
  <c r="J753" i="14" s="1"/>
  <c r="H780" i="14"/>
  <c r="H782" i="14"/>
  <c r="I782" i="14" s="1"/>
  <c r="H39" i="14"/>
  <c r="I39" i="14" s="1"/>
  <c r="H65" i="14"/>
  <c r="I65" i="14" s="1"/>
  <c r="H142" i="14"/>
  <c r="H150" i="14"/>
  <c r="J150" i="14" s="1"/>
  <c r="H301" i="14"/>
  <c r="H360" i="14"/>
  <c r="K360" i="14" s="1"/>
  <c r="H395" i="14"/>
  <c r="H415" i="14"/>
  <c r="H443" i="14"/>
  <c r="K443" i="14" s="1"/>
  <c r="H448" i="14"/>
  <c r="J448" i="14" s="1"/>
  <c r="H456" i="14"/>
  <c r="H472" i="14"/>
  <c r="H616" i="14"/>
  <c r="J616" i="14" s="1"/>
  <c r="H635" i="14"/>
  <c r="H671" i="14"/>
  <c r="J671" i="14" s="1"/>
  <c r="H692" i="14"/>
  <c r="L692" i="14" s="1"/>
  <c r="H49" i="14"/>
  <c r="M49" i="14" s="1"/>
  <c r="H167" i="14"/>
  <c r="I167" i="14" s="1"/>
  <c r="H231" i="14"/>
  <c r="I231" i="14" s="1"/>
  <c r="H251" i="14"/>
  <c r="H262" i="14"/>
  <c r="M262" i="14" s="1"/>
  <c r="H349" i="14"/>
  <c r="K349" i="14" s="1"/>
  <c r="H364" i="14"/>
  <c r="J364" i="14" s="1"/>
  <c r="H368" i="14"/>
  <c r="H419" i="14"/>
  <c r="H527" i="14"/>
  <c r="I527" i="14" s="1"/>
  <c r="H567" i="14"/>
  <c r="H636" i="14"/>
  <c r="H657" i="14"/>
  <c r="I657" i="14" s="1"/>
  <c r="H696" i="14"/>
  <c r="H821" i="14"/>
  <c r="H145" i="14"/>
  <c r="H160" i="14"/>
  <c r="H175" i="14"/>
  <c r="J175" i="14" s="1"/>
  <c r="H236" i="14"/>
  <c r="K236" i="14" s="1"/>
  <c r="H328" i="14"/>
  <c r="J328" i="14" s="1"/>
  <c r="H345" i="14"/>
  <c r="I345" i="14" s="1"/>
  <c r="H400" i="14"/>
  <c r="M400" i="14" s="1"/>
  <c r="H403" i="14"/>
  <c r="H441" i="14"/>
  <c r="K441" i="14" s="1"/>
  <c r="H517" i="14"/>
  <c r="H572" i="14"/>
  <c r="L572" i="14" s="1"/>
  <c r="H579" i="14"/>
  <c r="J579" i="14" s="1"/>
  <c r="H602" i="14"/>
  <c r="I602" i="14" s="1"/>
  <c r="H618" i="14"/>
  <c r="K618" i="14" s="1"/>
  <c r="H625" i="14"/>
  <c r="I625" i="14" s="1"/>
  <c r="H634" i="14"/>
  <c r="L634" i="14" s="1"/>
  <c r="H709" i="14"/>
  <c r="H60" i="14"/>
  <c r="H86" i="14"/>
  <c r="M86" i="14" s="1"/>
  <c r="H272" i="14"/>
  <c r="M272" i="14" s="1"/>
  <c r="H333" i="14"/>
  <c r="L333" i="14" s="1"/>
  <c r="H371" i="14"/>
  <c r="H381" i="14"/>
  <c r="H397" i="14"/>
  <c r="H522" i="14"/>
  <c r="H560" i="14"/>
  <c r="M560" i="14" s="1"/>
  <c r="H609" i="14"/>
  <c r="I609" i="14" s="1"/>
  <c r="H632" i="14"/>
  <c r="L632" i="14" s="1"/>
  <c r="H643" i="14"/>
  <c r="M643" i="14" s="1"/>
  <c r="H664" i="14"/>
  <c r="I664" i="14" s="1"/>
  <c r="H678" i="14"/>
  <c r="J678" i="14" s="1"/>
  <c r="H687" i="14"/>
  <c r="H304" i="14"/>
  <c r="H394" i="14"/>
  <c r="M394" i="14" s="1"/>
  <c r="H488" i="14"/>
  <c r="M488" i="14" s="1"/>
  <c r="H504" i="14"/>
  <c r="H530" i="14"/>
  <c r="H535" i="14"/>
  <c r="H555" i="14"/>
  <c r="H600" i="14"/>
  <c r="J600" i="14" s="1"/>
  <c r="H669" i="14"/>
  <c r="J669" i="14" s="1"/>
  <c r="H238" i="14"/>
  <c r="K238" i="14" s="1"/>
  <c r="H298" i="14"/>
  <c r="H444" i="14"/>
  <c r="I444" i="14" s="1"/>
  <c r="H467" i="14"/>
  <c r="K467" i="14" s="1"/>
  <c r="H547" i="14"/>
  <c r="H556" i="14"/>
  <c r="H587" i="14"/>
  <c r="J587" i="14" s="1"/>
  <c r="H629" i="14"/>
  <c r="H661" i="14"/>
  <c r="I661" i="14" s="1"/>
  <c r="H666" i="14"/>
  <c r="H685" i="14"/>
  <c r="H698" i="14"/>
  <c r="K698" i="14" s="1"/>
  <c r="H726" i="14"/>
  <c r="H740" i="14"/>
  <c r="H778" i="14"/>
  <c r="H864" i="14"/>
  <c r="M864" i="14" s="1"/>
  <c r="H891" i="14"/>
  <c r="M891" i="14" s="1"/>
  <c r="H969" i="14"/>
  <c r="M969" i="14" s="1"/>
  <c r="H999" i="14"/>
  <c r="H1022" i="14"/>
  <c r="H945" i="14"/>
  <c r="I945" i="14" s="1"/>
  <c r="H992" i="14"/>
  <c r="J992" i="14" s="1"/>
  <c r="H1015" i="14"/>
  <c r="I1015" i="14" s="1"/>
  <c r="H947" i="14"/>
  <c r="H978" i="14"/>
  <c r="H823" i="14"/>
  <c r="J823" i="14" s="1"/>
  <c r="H872" i="14"/>
  <c r="H899" i="14"/>
  <c r="H960" i="14"/>
  <c r="I960" i="14" s="1"/>
  <c r="H971" i="14"/>
  <c r="H398" i="14"/>
  <c r="I398" i="14" s="1"/>
  <c r="H405" i="14"/>
  <c r="L405" i="14" s="1"/>
  <c r="H420" i="14"/>
  <c r="H478" i="14"/>
  <c r="I478" i="14" s="1"/>
  <c r="H722" i="14"/>
  <c r="H815" i="14"/>
  <c r="I815" i="14" s="1"/>
  <c r="H825" i="14"/>
  <c r="I825" i="14" s="1"/>
  <c r="H845" i="14"/>
  <c r="K845" i="14" s="1"/>
  <c r="H849" i="14"/>
  <c r="L849" i="14" s="1"/>
  <c r="H874" i="14"/>
  <c r="H190" i="14"/>
  <c r="I190" i="14" s="1"/>
  <c r="H222" i="14"/>
  <c r="H545" i="14"/>
  <c r="H113" i="14"/>
  <c r="M113" i="14" s="1"/>
  <c r="H303" i="14"/>
  <c r="H423" i="14"/>
  <c r="H484" i="14"/>
  <c r="H500" i="14"/>
  <c r="H515" i="14"/>
  <c r="H565" i="14"/>
  <c r="H592" i="14"/>
  <c r="M592" i="14" s="1"/>
  <c r="H603" i="14"/>
  <c r="H653" i="14"/>
  <c r="L653" i="14" s="1"/>
  <c r="H866" i="14"/>
  <c r="M866" i="14" s="1"/>
  <c r="H893" i="14"/>
  <c r="M893" i="14" s="1"/>
  <c r="H910" i="14"/>
  <c r="K910" i="14" s="1"/>
  <c r="H921" i="14"/>
  <c r="I921" i="14" s="1"/>
  <c r="H934" i="14"/>
  <c r="H958" i="14"/>
  <c r="L958" i="14" s="1"/>
  <c r="H985" i="14"/>
  <c r="J985" i="14" s="1"/>
  <c r="H1008" i="14"/>
  <c r="H1038" i="14"/>
  <c r="L1038" i="14" s="1"/>
  <c r="H758" i="14"/>
  <c r="H923" i="14"/>
  <c r="H936" i="14"/>
  <c r="H1001" i="14"/>
  <c r="I1001" i="14" s="1"/>
  <c r="H1031" i="14"/>
  <c r="M1031" i="14" s="1"/>
  <c r="H383" i="14"/>
  <c r="H648" i="14"/>
  <c r="H817" i="14"/>
  <c r="M817" i="14" s="1"/>
  <c r="H833" i="14"/>
  <c r="H847" i="14"/>
  <c r="H925" i="14"/>
  <c r="L925" i="14" s="1"/>
  <c r="H994" i="14"/>
  <c r="L994" i="14" s="1"/>
  <c r="H1017" i="14"/>
  <c r="L1017" i="14" s="1"/>
  <c r="H184" i="14"/>
  <c r="I184" i="14" s="1"/>
  <c r="H336" i="14"/>
  <c r="H438" i="14"/>
  <c r="K438" i="14" s="1"/>
  <c r="H468" i="14"/>
  <c r="L468" i="14" s="1"/>
  <c r="H93" i="14"/>
  <c r="H159" i="14"/>
  <c r="L159" i="14" s="1"/>
  <c r="H189" i="14"/>
  <c r="M189" i="14" s="1"/>
  <c r="H268" i="14"/>
  <c r="L268" i="14" s="1"/>
  <c r="H376" i="14"/>
  <c r="I376" i="14" s="1"/>
  <c r="H474" i="14"/>
  <c r="J474" i="14" s="1"/>
  <c r="H518" i="14"/>
  <c r="H559" i="14"/>
  <c r="L559" i="14" s="1"/>
  <c r="H590" i="14"/>
  <c r="M590" i="14" s="1"/>
  <c r="H640" i="14"/>
  <c r="K640" i="14" s="1"/>
  <c r="H693" i="14"/>
  <c r="J693" i="14" s="1"/>
  <c r="H710" i="14"/>
  <c r="H717" i="14"/>
  <c r="H733" i="14"/>
  <c r="H749" i="14"/>
  <c r="H767" i="14"/>
  <c r="H776" i="14"/>
  <c r="L776" i="14" s="1"/>
  <c r="H794" i="14"/>
  <c r="L794" i="14" s="1"/>
  <c r="H868" i="14"/>
  <c r="L868" i="14" s="1"/>
  <c r="H870" i="14"/>
  <c r="K870" i="14" s="1"/>
  <c r="H895" i="14"/>
  <c r="I895" i="14" s="1"/>
  <c r="H912" i="14"/>
  <c r="I912" i="14" s="1"/>
  <c r="H289" i="14"/>
  <c r="I289" i="14" s="1"/>
  <c r="H313" i="14"/>
  <c r="M313" i="14" s="1"/>
  <c r="H331" i="14"/>
  <c r="L331" i="14" s="1"/>
  <c r="H427" i="14"/>
  <c r="L427" i="14" s="1"/>
  <c r="H471" i="14"/>
  <c r="H509" i="14"/>
  <c r="M509" i="14" s="1"/>
  <c r="H512" i="14"/>
  <c r="I512" i="14" s="1"/>
  <c r="H533" i="14"/>
  <c r="H562" i="14"/>
  <c r="M562" i="14" s="1"/>
  <c r="H598" i="14"/>
  <c r="I598" i="14" s="1"/>
  <c r="H703" i="14"/>
  <c r="H738" i="14"/>
  <c r="H785" i="14"/>
  <c r="L785" i="14" s="1"/>
  <c r="H949" i="14"/>
  <c r="K949" i="14" s="1"/>
  <c r="H1024" i="14"/>
  <c r="H274" i="14"/>
  <c r="H351" i="14"/>
  <c r="J351" i="14" s="1"/>
  <c r="H595" i="14"/>
  <c r="I595" i="14" s="1"/>
  <c r="H619" i="14"/>
  <c r="M619" i="14" s="1"/>
  <c r="H819" i="14"/>
  <c r="H827" i="14"/>
  <c r="K827" i="14" s="1"/>
  <c r="H56" i="14"/>
  <c r="K56" i="14" s="1"/>
  <c r="H114" i="14"/>
  <c r="H235" i="14"/>
  <c r="L235" i="14" s="1"/>
  <c r="H375" i="14"/>
  <c r="H463" i="14"/>
  <c r="H510" i="14"/>
  <c r="I510" i="14" s="1"/>
  <c r="H574" i="14"/>
  <c r="J574" i="14" s="1"/>
  <c r="H613" i="14"/>
  <c r="H649" i="14"/>
  <c r="H704" i="14"/>
  <c r="I704" i="14" s="1"/>
  <c r="H707" i="14"/>
  <c r="M707" i="14" s="1"/>
  <c r="H761" i="14"/>
  <c r="H774" i="14"/>
  <c r="I774" i="14" s="1"/>
  <c r="H812" i="14"/>
  <c r="H835" i="14"/>
  <c r="I835" i="14" s="1"/>
  <c r="H837" i="14"/>
  <c r="H859" i="14"/>
  <c r="J859" i="14" s="1"/>
  <c r="H884" i="14"/>
  <c r="H933" i="14"/>
  <c r="H1002" i="14"/>
  <c r="K1002" i="14" s="1"/>
  <c r="H1025" i="14"/>
  <c r="M1025" i="14" s="1"/>
  <c r="H1029" i="14"/>
  <c r="K1029" i="14" s="1"/>
  <c r="H124" i="14"/>
  <c r="J124" i="14" s="1"/>
  <c r="H311" i="14"/>
  <c r="J311" i="14" s="1"/>
  <c r="H402" i="14"/>
  <c r="L402" i="14" s="1"/>
  <c r="H440" i="14"/>
  <c r="M440" i="14" s="1"/>
  <c r="H525" i="14"/>
  <c r="J525" i="14" s="1"/>
  <c r="H610" i="14"/>
  <c r="H729" i="14"/>
  <c r="H732" i="14"/>
  <c r="K732" i="14" s="1"/>
  <c r="H748" i="14"/>
  <c r="H955" i="14"/>
  <c r="I955" i="14" s="1"/>
  <c r="H1000" i="14"/>
  <c r="M1000" i="14" s="1"/>
  <c r="H1023" i="14"/>
  <c r="H1027" i="14"/>
  <c r="H82" i="14"/>
  <c r="H170" i="14"/>
  <c r="H460" i="14"/>
  <c r="H507" i="14"/>
  <c r="J507" i="14" s="1"/>
  <c r="H607" i="14"/>
  <c r="K607" i="14" s="1"/>
  <c r="H795" i="14"/>
  <c r="J795" i="14" s="1"/>
  <c r="H810" i="14"/>
  <c r="K810" i="14" s="1"/>
  <c r="H848" i="14"/>
  <c r="H882" i="14"/>
  <c r="I882" i="14" s="1"/>
  <c r="H907" i="14"/>
  <c r="I907" i="14" s="1"/>
  <c r="H931" i="14"/>
  <c r="H951" i="14"/>
  <c r="L951" i="14" s="1"/>
  <c r="H953" i="14"/>
  <c r="I953" i="14" s="1"/>
  <c r="H962" i="14"/>
  <c r="I962" i="14" s="1"/>
  <c r="H979" i="14"/>
  <c r="M979" i="14" s="1"/>
  <c r="H981" i="14"/>
  <c r="H1004" i="14"/>
  <c r="M1004" i="14" s="1"/>
  <c r="H457" i="14"/>
  <c r="H529" i="14"/>
  <c r="H564" i="14"/>
  <c r="K564" i="14" s="1"/>
  <c r="H591" i="14"/>
  <c r="H735" i="14"/>
  <c r="K735" i="14" s="1"/>
  <c r="H754" i="14"/>
  <c r="K754" i="14" s="1"/>
  <c r="H759" i="14"/>
  <c r="H762" i="14"/>
  <c r="H793" i="14"/>
  <c r="M793" i="14" s="1"/>
  <c r="H118" i="14"/>
  <c r="H299" i="14"/>
  <c r="M299" i="14" s="1"/>
  <c r="H410" i="14"/>
  <c r="H455" i="14"/>
  <c r="L455" i="14" s="1"/>
  <c r="H486" i="14"/>
  <c r="H498" i="14"/>
  <c r="H502" i="14"/>
  <c r="H604" i="14"/>
  <c r="H627" i="14"/>
  <c r="H784" i="14"/>
  <c r="H840" i="14"/>
  <c r="H869" i="14"/>
  <c r="H883" i="14"/>
  <c r="H970" i="14"/>
  <c r="H983" i="14"/>
  <c r="M983" i="14" s="1"/>
  <c r="H995" i="14"/>
  <c r="H1020" i="14"/>
  <c r="H439" i="14"/>
  <c r="H549" i="14"/>
  <c r="H580" i="14"/>
  <c r="K580" i="14" s="1"/>
  <c r="H608" i="14"/>
  <c r="H862" i="14"/>
  <c r="I862" i="14" s="1"/>
  <c r="H797" i="14"/>
  <c r="H855" i="14"/>
  <c r="I855" i="14" s="1"/>
  <c r="H916" i="14"/>
  <c r="J916" i="14" s="1"/>
  <c r="H956" i="14"/>
  <c r="H275" i="14"/>
  <c r="L275" i="14" s="1"/>
  <c r="H374" i="14"/>
  <c r="L374" i="14" s="1"/>
  <c r="H662" i="14"/>
  <c r="L662" i="14" s="1"/>
  <c r="H818" i="14"/>
  <c r="L818" i="14" s="1"/>
  <c r="H892" i="14"/>
  <c r="K892" i="14" s="1"/>
  <c r="H902" i="14"/>
  <c r="H975" i="14"/>
  <c r="H516" i="14"/>
  <c r="J516" i="14" s="1"/>
  <c r="H554" i="14"/>
  <c r="H803" i="14"/>
  <c r="K803" i="14" s="1"/>
  <c r="H470" i="14"/>
  <c r="M470" i="14" s="1"/>
  <c r="H702" i="14"/>
  <c r="H800" i="14"/>
  <c r="H900" i="14"/>
  <c r="H1019" i="14"/>
  <c r="H218" i="14"/>
  <c r="H225" i="14"/>
  <c r="H399" i="14"/>
  <c r="H676" i="14"/>
  <c r="H682" i="14"/>
  <c r="K682" i="14" s="1"/>
  <c r="H926" i="14"/>
  <c r="H928" i="14"/>
  <c r="H373" i="14"/>
  <c r="J373" i="14" s="1"/>
  <c r="H490" i="14"/>
  <c r="J490" i="14" s="1"/>
  <c r="H514" i="14"/>
  <c r="H586" i="14"/>
  <c r="K586" i="14" s="1"/>
  <c r="H647" i="14"/>
  <c r="H681" i="14"/>
  <c r="H725" i="14"/>
  <c r="L725" i="14" s="1"/>
  <c r="H943" i="14"/>
  <c r="H946" i="14"/>
  <c r="M946" i="14" s="1"/>
  <c r="H988" i="14"/>
  <c r="M988" i="14" s="1"/>
  <c r="H993" i="14"/>
  <c r="I993" i="14" s="1"/>
  <c r="H997" i="14"/>
  <c r="M997" i="14" s="1"/>
  <c r="H1011" i="14"/>
  <c r="H1016" i="14"/>
  <c r="H1034" i="14"/>
  <c r="H984" i="14"/>
  <c r="H836" i="14"/>
  <c r="H417" i="14"/>
  <c r="L417" i="14" s="1"/>
  <c r="H558" i="14"/>
  <c r="H679" i="14"/>
  <c r="M679" i="14" s="1"/>
  <c r="H280" i="14"/>
  <c r="L280" i="14" s="1"/>
  <c r="H473" i="14"/>
  <c r="H534" i="14"/>
  <c r="M534" i="14" s="1"/>
  <c r="H583" i="14"/>
  <c r="I583" i="14" s="1"/>
  <c r="H728" i="14"/>
  <c r="H731" i="14"/>
  <c r="K731" i="14" s="1"/>
  <c r="H755" i="14"/>
  <c r="H770" i="14"/>
  <c r="H802" i="14"/>
  <c r="I802" i="14" s="1"/>
  <c r="H867" i="14"/>
  <c r="M867" i="14" s="1"/>
  <c r="H881" i="14"/>
  <c r="M881" i="14" s="1"/>
  <c r="H937" i="14"/>
  <c r="J937" i="14" s="1"/>
  <c r="H939" i="14"/>
  <c r="H941" i="14"/>
  <c r="H1032" i="14"/>
  <c r="H365" i="14"/>
  <c r="H388" i="14"/>
  <c r="H425" i="14"/>
  <c r="H612" i="14"/>
  <c r="K612" i="14" s="1"/>
  <c r="H615" i="14"/>
  <c r="I615" i="14" s="1"/>
  <c r="H621" i="14"/>
  <c r="M621" i="14" s="1"/>
  <c r="H637" i="14"/>
  <c r="I637" i="14" s="1"/>
  <c r="H644" i="14"/>
  <c r="M644" i="14" s="1"/>
  <c r="H695" i="14"/>
  <c r="H711" i="14"/>
  <c r="K711" i="14" s="1"/>
  <c r="H750" i="14"/>
  <c r="K750" i="14" s="1"/>
  <c r="H838" i="14"/>
  <c r="M838" i="14" s="1"/>
  <c r="H877" i="14"/>
  <c r="M877" i="14" s="1"/>
  <c r="H541" i="14"/>
  <c r="H788" i="14"/>
  <c r="I788" i="14" s="1"/>
  <c r="H857" i="14"/>
  <c r="L857" i="14" s="1"/>
  <c r="H906" i="14"/>
  <c r="J906" i="14" s="1"/>
  <c r="H961" i="14"/>
  <c r="J961" i="14" s="1"/>
  <c r="H977" i="14"/>
  <c r="H48" i="14"/>
  <c r="J48" i="14" s="1"/>
  <c r="H307" i="14"/>
  <c r="I307" i="14" s="1"/>
  <c r="H430" i="14"/>
  <c r="H465" i="14"/>
  <c r="H569" i="14"/>
  <c r="H631" i="14"/>
  <c r="H665" i="14"/>
  <c r="M665" i="14" s="1"/>
  <c r="H744" i="14"/>
  <c r="I744" i="14" s="1"/>
  <c r="H773" i="14"/>
  <c r="H779" i="14"/>
  <c r="M779" i="14" s="1"/>
  <c r="H850" i="14"/>
  <c r="K850" i="14" s="1"/>
  <c r="H889" i="14"/>
  <c r="K889" i="14" s="1"/>
  <c r="H932" i="14"/>
  <c r="I932" i="14" s="1"/>
  <c r="H991" i="14"/>
  <c r="I991" i="14" s="1"/>
  <c r="H1007" i="14"/>
  <c r="J1007" i="14" s="1"/>
  <c r="H101" i="14"/>
  <c r="I101" i="14" s="1"/>
  <c r="H246" i="14"/>
  <c r="K246" i="14" s="1"/>
  <c r="H348" i="14"/>
  <c r="M348" i="14" s="1"/>
  <c r="H483" i="14"/>
  <c r="H668" i="14"/>
  <c r="L668" i="14" s="1"/>
  <c r="H723" i="14"/>
  <c r="K723" i="14" s="1"/>
  <c r="H747" i="14"/>
  <c r="L747" i="14" s="1"/>
  <c r="H768" i="14"/>
  <c r="K768" i="14" s="1"/>
  <c r="H865" i="14"/>
  <c r="J865" i="14" s="1"/>
  <c r="H914" i="14"/>
  <c r="H959" i="14"/>
  <c r="H594" i="14"/>
  <c r="H935" i="14"/>
  <c r="H475" i="14"/>
  <c r="H638" i="14"/>
  <c r="M638" i="14" s="1"/>
  <c r="H966" i="14"/>
  <c r="H1028" i="14"/>
  <c r="L1028" i="14" s="1"/>
  <c r="H1035" i="14"/>
  <c r="K1035" i="14" s="1"/>
  <c r="H344" i="14"/>
  <c r="M344" i="14" s="1"/>
  <c r="H652" i="14"/>
  <c r="I652" i="14" s="1"/>
  <c r="H686" i="14"/>
  <c r="I686" i="14" s="1"/>
  <c r="H718" i="14"/>
  <c r="H841" i="14"/>
  <c r="H982" i="14"/>
  <c r="H286" i="14"/>
  <c r="M286" i="14" s="1"/>
  <c r="H576" i="14"/>
  <c r="L576" i="14" s="1"/>
  <c r="H708" i="14"/>
  <c r="J708" i="14" s="1"/>
  <c r="H720" i="14"/>
  <c r="H741" i="14"/>
  <c r="K741" i="14" s="1"/>
  <c r="H805" i="14"/>
  <c r="H820" i="14"/>
  <c r="L820" i="14" s="1"/>
  <c r="H828" i="14"/>
  <c r="H879" i="14"/>
  <c r="H886" i="14"/>
  <c r="H894" i="14"/>
  <c r="H911" i="14"/>
  <c r="H965" i="14"/>
  <c r="L965" i="14" s="1"/>
  <c r="H986" i="14"/>
  <c r="H1009" i="14"/>
  <c r="M1009" i="14" s="1"/>
  <c r="H963" i="14"/>
  <c r="J963" i="14" s="1"/>
  <c r="H605" i="14"/>
  <c r="H791" i="14"/>
  <c r="K791" i="14" s="1"/>
  <c r="H918" i="14"/>
  <c r="M918" i="14" s="1"/>
  <c r="H968" i="14"/>
  <c r="H1037" i="14"/>
  <c r="M1037" i="14" s="1"/>
  <c r="H1014" i="14"/>
  <c r="H1030" i="14"/>
  <c r="I1030" i="14" s="1"/>
  <c r="H904" i="14"/>
  <c r="I904" i="14" s="1"/>
  <c r="H944" i="14"/>
  <c r="H826" i="14"/>
  <c r="J826" i="14" s="1"/>
  <c r="H909" i="14"/>
  <c r="H973" i="14"/>
  <c r="H998" i="14"/>
  <c r="J998" i="14" s="1"/>
  <c r="H756" i="14"/>
  <c r="H808" i="14"/>
  <c r="H1005" i="14"/>
  <c r="H1021" i="14"/>
  <c r="H860" i="14"/>
  <c r="H1003" i="14"/>
  <c r="K1003" i="14" s="1"/>
  <c r="H546" i="14"/>
  <c r="H771" i="14"/>
  <c r="H806" i="14"/>
  <c r="I806" i="14" s="1"/>
  <c r="H863" i="14"/>
  <c r="H92" i="14"/>
  <c r="H181" i="14"/>
  <c r="H279" i="14"/>
  <c r="J279" i="14" s="1"/>
  <c r="H588" i="14"/>
  <c r="L588" i="14" s="1"/>
  <c r="H620" i="14"/>
  <c r="H700" i="14"/>
  <c r="H736" i="14"/>
  <c r="H844" i="14"/>
  <c r="H851" i="14"/>
  <c r="L851" i="14" s="1"/>
  <c r="H980" i="14"/>
  <c r="I980" i="14" s="1"/>
  <c r="H901" i="14"/>
  <c r="M901" i="14" s="1"/>
  <c r="H924" i="14"/>
  <c r="H78" i="14"/>
  <c r="H358" i="14"/>
  <c r="H585" i="14"/>
  <c r="H670" i="14"/>
  <c r="H697" i="14"/>
  <c r="H858" i="14"/>
  <c r="H505" i="14"/>
  <c r="H927" i="14"/>
  <c r="I927" i="14" s="1"/>
  <c r="H940" i="14"/>
  <c r="H990" i="14"/>
  <c r="H138" i="14"/>
  <c r="I138" i="14" s="1"/>
  <c r="H214" i="14"/>
  <c r="H566" i="14"/>
  <c r="H713" i="14"/>
  <c r="I713" i="14" s="1"/>
  <c r="H154" i="14"/>
  <c r="I154" i="14" s="1"/>
  <c r="H204" i="14"/>
  <c r="H532" i="14"/>
  <c r="H777" i="14"/>
  <c r="H789" i="14"/>
  <c r="H816" i="14"/>
  <c r="H905" i="14"/>
  <c r="L905" i="14" s="1"/>
  <c r="H954" i="14"/>
  <c r="H626" i="14"/>
  <c r="M626" i="14" s="1"/>
  <c r="H757" i="14"/>
  <c r="H842" i="14"/>
  <c r="H898" i="14"/>
  <c r="H125" i="14"/>
  <c r="H198" i="14"/>
  <c r="H581" i="14"/>
  <c r="H614" i="14"/>
  <c r="I614" i="14" s="1"/>
  <c r="H766" i="14"/>
  <c r="H798" i="14"/>
  <c r="L798" i="14" s="1"/>
  <c r="H948" i="14"/>
  <c r="H690" i="14"/>
  <c r="K690" i="14" s="1"/>
  <c r="H839" i="14"/>
  <c r="H856" i="14"/>
  <c r="H248" i="14"/>
  <c r="H322" i="14"/>
  <c r="M322" i="14" s="1"/>
  <c r="H734" i="14"/>
  <c r="H742" i="14"/>
  <c r="H543" i="14"/>
  <c r="I543" i="14" s="1"/>
  <c r="H563" i="14"/>
  <c r="H846" i="14"/>
  <c r="H888" i="14"/>
  <c r="H663" i="14"/>
  <c r="H878" i="14"/>
  <c r="H1036" i="14"/>
  <c r="H691" i="14"/>
  <c r="H339" i="14"/>
  <c r="H596" i="14"/>
  <c r="M596" i="14" s="1"/>
  <c r="H903" i="14"/>
  <c r="H278" i="14"/>
  <c r="M278" i="14" s="1"/>
  <c r="H775" i="14"/>
  <c r="H814" i="14"/>
  <c r="H871" i="14"/>
  <c r="K871" i="14" s="1"/>
  <c r="H783" i="14"/>
  <c r="K783" i="14" s="1"/>
  <c r="H807" i="14"/>
  <c r="H646" i="14"/>
  <c r="H727" i="14"/>
  <c r="H811" i="14"/>
  <c r="H719" i="14"/>
  <c r="H929" i="14"/>
  <c r="H382" i="14"/>
  <c r="H551" i="14"/>
  <c r="M551" i="14" s="1"/>
  <c r="H764" i="14"/>
  <c r="H772" i="14"/>
  <c r="H792" i="14"/>
  <c r="H796" i="14"/>
  <c r="H830" i="14"/>
  <c r="H854" i="14"/>
  <c r="H861" i="14"/>
  <c r="H1012" i="14"/>
  <c r="H327" i="14"/>
  <c r="M327" i="14" s="1"/>
  <c r="H987" i="14"/>
  <c r="J987" i="14" s="1"/>
  <c r="H164" i="14"/>
  <c r="L164" i="14" s="1"/>
  <c r="H442" i="14"/>
  <c r="L442" i="14" s="1"/>
  <c r="H701" i="14"/>
  <c r="K701" i="14" s="1"/>
  <c r="H377" i="14"/>
  <c r="I377" i="14" s="1"/>
  <c r="H459" i="14"/>
  <c r="J459" i="14" s="1"/>
  <c r="H537" i="14"/>
  <c r="L537" i="14" s="1"/>
  <c r="H880" i="14"/>
  <c r="H1006" i="14"/>
  <c r="I1006" i="14" s="1"/>
  <c r="H413" i="14"/>
  <c r="H706" i="14"/>
  <c r="H745" i="14"/>
  <c r="H781" i="14"/>
  <c r="H915" i="14"/>
  <c r="L915" i="14" s="1"/>
  <c r="H972" i="14"/>
  <c r="H1013" i="14"/>
  <c r="H1026" i="14"/>
  <c r="H786" i="14"/>
  <c r="H832" i="14"/>
  <c r="H922" i="14"/>
  <c r="H315" i="14"/>
  <c r="H496" i="14"/>
  <c r="H938" i="14"/>
  <c r="M938" i="14" s="1"/>
  <c r="H450" i="14"/>
  <c r="J450" i="14" s="1"/>
  <c r="H513" i="14"/>
  <c r="H1033" i="14"/>
  <c r="H763" i="14"/>
  <c r="H578" i="14"/>
  <c r="H885" i="14"/>
  <c r="H919" i="14"/>
  <c r="H508" i="14"/>
  <c r="H715" i="14"/>
  <c r="I715" i="14" s="1"/>
  <c r="H739" i="14"/>
  <c r="K739" i="14" s="1"/>
  <c r="H673" i="14"/>
  <c r="H822" i="14"/>
  <c r="J822" i="14" s="1"/>
  <c r="H976" i="14"/>
  <c r="H989" i="14"/>
  <c r="H433" i="14"/>
  <c r="H804" i="14"/>
  <c r="J804" i="14" s="1"/>
  <c r="H332" i="14"/>
  <c r="H422" i="14"/>
  <c r="H674" i="14"/>
  <c r="H712" i="14"/>
  <c r="H752" i="14"/>
  <c r="H801" i="14"/>
  <c r="I801" i="14" s="1"/>
  <c r="H876" i="14"/>
  <c r="L876" i="14" s="1"/>
  <c r="H917" i="14"/>
  <c r="H950" i="14"/>
  <c r="H824" i="14"/>
  <c r="I824" i="14" s="1"/>
  <c r="H887" i="14"/>
  <c r="H396" i="14"/>
  <c r="H296" i="14"/>
  <c r="L296" i="14" s="1"/>
  <c r="H642" i="14"/>
  <c r="H683" i="14"/>
  <c r="M683" i="14" s="1"/>
  <c r="H834" i="14"/>
  <c r="H967" i="14"/>
  <c r="H890" i="14"/>
  <c r="H617" i="14"/>
  <c r="H957" i="14"/>
  <c r="H1010" i="14"/>
  <c r="H913" i="14"/>
  <c r="H520" i="14"/>
  <c r="L791" i="14" l="1"/>
  <c r="M124" i="14"/>
  <c r="I373" i="14"/>
  <c r="K209" i="14"/>
  <c r="I1037" i="14"/>
  <c r="M724" i="14"/>
  <c r="M209" i="14"/>
  <c r="I209" i="14"/>
  <c r="M521" i="14"/>
  <c r="I521" i="14"/>
  <c r="M932" i="14"/>
  <c r="J638" i="14"/>
  <c r="K724" i="14"/>
  <c r="M791" i="14"/>
  <c r="J871" i="14"/>
  <c r="I698" i="14"/>
  <c r="J862" i="14"/>
  <c r="I654" i="14"/>
  <c r="J698" i="14"/>
  <c r="L932" i="14"/>
  <c r="K654" i="14"/>
  <c r="M654" i="14"/>
  <c r="K1037" i="14"/>
  <c r="L654" i="14"/>
  <c r="L485" i="14"/>
  <c r="M925" i="14"/>
  <c r="I925" i="14"/>
  <c r="L560" i="14"/>
  <c r="K183" i="14"/>
  <c r="I133" i="14"/>
  <c r="I355" i="14"/>
  <c r="M355" i="14"/>
  <c r="L179" i="14"/>
  <c r="K507" i="14"/>
  <c r="I638" i="14"/>
  <c r="I910" i="14"/>
  <c r="L507" i="14"/>
  <c r="K321" i="14"/>
  <c r="M387" i="14"/>
  <c r="I328" i="14"/>
  <c r="K387" i="14"/>
  <c r="L262" i="14"/>
  <c r="L167" i="14"/>
  <c r="I506" i="14"/>
  <c r="L291" i="14"/>
  <c r="M141" i="14"/>
  <c r="L930" i="14"/>
  <c r="J249" i="14"/>
  <c r="M167" i="14"/>
  <c r="M506" i="14"/>
  <c r="J907" i="14"/>
  <c r="L261" i="14"/>
  <c r="I537" i="14"/>
  <c r="K261" i="14"/>
  <c r="L355" i="14"/>
  <c r="L895" i="14"/>
  <c r="K560" i="14"/>
  <c r="L534" i="14"/>
  <c r="K354" i="14"/>
  <c r="I261" i="14"/>
  <c r="L750" i="14"/>
  <c r="L394" i="14"/>
  <c r="K355" i="14"/>
  <c r="K144" i="14"/>
  <c r="M65" i="14"/>
  <c r="K534" i="14"/>
  <c r="M110" i="14"/>
  <c r="K895" i="14"/>
  <c r="K506" i="14"/>
  <c r="L354" i="14"/>
  <c r="M398" i="14"/>
  <c r="M827" i="14"/>
  <c r="J534" i="14"/>
  <c r="L451" i="14"/>
  <c r="M468" i="14"/>
  <c r="L110" i="14"/>
  <c r="K167" i="14"/>
  <c r="J895" i="14"/>
  <c r="I534" i="14"/>
  <c r="J583" i="14"/>
  <c r="J827" i="14"/>
  <c r="J912" i="14"/>
  <c r="L908" i="14"/>
  <c r="K468" i="14"/>
  <c r="K110" i="14"/>
  <c r="J688" i="14"/>
  <c r="J261" i="14"/>
  <c r="K965" i="14"/>
  <c r="M583" i="14"/>
  <c r="I827" i="14"/>
  <c r="I711" i="14"/>
  <c r="J652" i="14"/>
  <c r="I438" i="14"/>
  <c r="K688" i="14"/>
  <c r="L438" i="14"/>
  <c r="M1029" i="14"/>
  <c r="I701" i="14"/>
  <c r="L1029" i="14"/>
  <c r="K536" i="14"/>
  <c r="J151" i="14"/>
  <c r="L678" i="14"/>
  <c r="L991" i="14"/>
  <c r="K165" i="14"/>
  <c r="J108" i="14"/>
  <c r="I151" i="14"/>
  <c r="L81" i="14"/>
  <c r="I185" i="14"/>
  <c r="K583" i="14"/>
  <c r="J1029" i="14"/>
  <c r="I165" i="14"/>
  <c r="L701" i="14"/>
  <c r="M991" i="14"/>
  <c r="L165" i="14"/>
  <c r="M374" i="14"/>
  <c r="J536" i="14"/>
  <c r="I871" i="14"/>
  <c r="M845" i="14"/>
  <c r="L255" i="14"/>
  <c r="I441" i="14"/>
  <c r="L882" i="14"/>
  <c r="M81" i="14"/>
  <c r="J782" i="14"/>
  <c r="J701" i="14"/>
  <c r="L536" i="14"/>
  <c r="M151" i="14"/>
  <c r="J991" i="14"/>
  <c r="K151" i="14"/>
  <c r="L871" i="14"/>
  <c r="M417" i="14"/>
  <c r="L521" i="14"/>
  <c r="J910" i="14"/>
  <c r="J882" i="14"/>
  <c r="J81" i="14"/>
  <c r="J184" i="14"/>
  <c r="I794" i="14"/>
  <c r="I262" i="14"/>
  <c r="J43" i="14"/>
  <c r="K451" i="14"/>
  <c r="K596" i="14"/>
  <c r="J794" i="14"/>
  <c r="L273" i="14"/>
  <c r="J321" i="14"/>
  <c r="I596" i="14"/>
  <c r="K692" i="14"/>
  <c r="M179" i="14"/>
  <c r="I321" i="14"/>
  <c r="J596" i="14"/>
  <c r="L398" i="14"/>
  <c r="J398" i="14"/>
  <c r="L614" i="14"/>
  <c r="L348" i="14"/>
  <c r="K574" i="14"/>
  <c r="K309" i="14"/>
  <c r="K398" i="14"/>
  <c r="J614" i="14"/>
  <c r="M782" i="14"/>
  <c r="K417" i="14"/>
  <c r="K291" i="14"/>
  <c r="K356" i="14"/>
  <c r="J183" i="14"/>
  <c r="K782" i="14"/>
  <c r="I901" i="14"/>
  <c r="K1009" i="14"/>
  <c r="I299" i="14"/>
  <c r="L293" i="14"/>
  <c r="M1003" i="14"/>
  <c r="J236" i="14"/>
  <c r="K85" i="14"/>
  <c r="L57" i="14"/>
  <c r="L299" i="14"/>
  <c r="I275" i="14"/>
  <c r="M144" i="14"/>
  <c r="L373" i="14"/>
  <c r="K393" i="14"/>
  <c r="M951" i="14"/>
  <c r="L231" i="14"/>
  <c r="M678" i="14"/>
  <c r="J750" i="14"/>
  <c r="I236" i="14"/>
  <c r="K537" i="14"/>
  <c r="I334" i="14"/>
  <c r="K373" i="14"/>
  <c r="I255" i="14"/>
  <c r="K713" i="14"/>
  <c r="J825" i="14"/>
  <c r="J201" i="14"/>
  <c r="K678" i="14"/>
  <c r="I41" i="14"/>
  <c r="M236" i="14"/>
  <c r="J537" i="14"/>
  <c r="K991" i="14"/>
  <c r="M373" i="14"/>
  <c r="M255" i="14"/>
  <c r="J713" i="14"/>
  <c r="L825" i="14"/>
  <c r="M485" i="14"/>
  <c r="I678" i="14"/>
  <c r="J110" i="14"/>
  <c r="K616" i="14"/>
  <c r="K866" i="14"/>
  <c r="K299" i="14"/>
  <c r="J1009" i="14"/>
  <c r="L866" i="14"/>
  <c r="I795" i="14"/>
  <c r="J299" i="14"/>
  <c r="J561" i="14"/>
  <c r="I866" i="14"/>
  <c r="M795" i="14"/>
  <c r="L47" i="14"/>
  <c r="K632" i="14"/>
  <c r="J300" i="14"/>
  <c r="J386" i="14"/>
  <c r="I561" i="14"/>
  <c r="M682" i="14"/>
  <c r="L102" i="14"/>
  <c r="K47" i="14"/>
  <c r="L916" i="14"/>
  <c r="I632" i="14"/>
  <c r="M507" i="14"/>
  <c r="L131" i="14"/>
  <c r="M537" i="14"/>
  <c r="K448" i="14"/>
  <c r="L682" i="14"/>
  <c r="M67" i="14"/>
  <c r="M713" i="14"/>
  <c r="I196" i="14"/>
  <c r="K252" i="14"/>
  <c r="I454" i="14"/>
  <c r="J454" i="14"/>
  <c r="J889" i="14"/>
  <c r="K59" i="14"/>
  <c r="M390" i="14"/>
  <c r="L843" i="14"/>
  <c r="K107" i="14"/>
  <c r="I843" i="14"/>
  <c r="M987" i="14"/>
  <c r="L65" i="14"/>
  <c r="L107" i="14"/>
  <c r="I671" i="14"/>
  <c r="M843" i="14"/>
  <c r="J602" i="14"/>
  <c r="J123" i="14"/>
  <c r="K987" i="14"/>
  <c r="K65" i="14"/>
  <c r="L637" i="14"/>
  <c r="L801" i="14"/>
  <c r="I497" i="14"/>
  <c r="M806" i="14"/>
  <c r="I311" i="14"/>
  <c r="M405" i="14"/>
  <c r="I435" i="14"/>
  <c r="I74" i="14"/>
  <c r="K653" i="14"/>
  <c r="L221" i="14"/>
  <c r="J572" i="14"/>
  <c r="J801" i="14"/>
  <c r="M384" i="14"/>
  <c r="L544" i="14"/>
  <c r="J592" i="14"/>
  <c r="L311" i="14"/>
  <c r="M595" i="14"/>
  <c r="J868" i="14"/>
  <c r="L583" i="14"/>
  <c r="J932" i="14"/>
  <c r="L827" i="14"/>
  <c r="I653" i="14"/>
  <c r="L481" i="14"/>
  <c r="M441" i="14"/>
  <c r="I572" i="14"/>
  <c r="K864" i="14"/>
  <c r="M661" i="14"/>
  <c r="I690" i="14"/>
  <c r="M801" i="14"/>
  <c r="I384" i="14"/>
  <c r="M876" i="14"/>
  <c r="I592" i="14"/>
  <c r="J595" i="14"/>
  <c r="I876" i="14"/>
  <c r="L675" i="14"/>
  <c r="K868" i="14"/>
  <c r="M338" i="14"/>
  <c r="J876" i="14"/>
  <c r="M550" i="14"/>
  <c r="K876" i="14"/>
  <c r="J550" i="14"/>
  <c r="L292" i="14"/>
  <c r="J965" i="14"/>
  <c r="J488" i="14"/>
  <c r="L870" i="14"/>
  <c r="M228" i="14"/>
  <c r="M138" i="14"/>
  <c r="I965" i="14"/>
  <c r="M871" i="14"/>
  <c r="I488" i="14"/>
  <c r="L133" i="14"/>
  <c r="L209" i="14"/>
  <c r="K374" i="14"/>
  <c r="J179" i="14"/>
  <c r="L744" i="14"/>
  <c r="M910" i="14"/>
  <c r="I354" i="14"/>
  <c r="M677" i="14"/>
  <c r="M615" i="14"/>
  <c r="L56" i="14"/>
  <c r="M870" i="14"/>
  <c r="K824" i="14"/>
  <c r="J643" i="14"/>
  <c r="L85" i="14"/>
  <c r="L228" i="14"/>
  <c r="I320" i="14"/>
  <c r="I390" i="14"/>
  <c r="L200" i="14"/>
  <c r="I889" i="14"/>
  <c r="M614" i="14"/>
  <c r="K200" i="14"/>
  <c r="I868" i="14"/>
  <c r="K801" i="14"/>
  <c r="K658" i="14"/>
  <c r="J893" i="14"/>
  <c r="J938" i="14"/>
  <c r="L938" i="14"/>
  <c r="L855" i="14"/>
  <c r="K644" i="14"/>
  <c r="K488" i="14"/>
  <c r="K1028" i="14"/>
  <c r="K938" i="14"/>
  <c r="J615" i="14"/>
  <c r="J277" i="14"/>
  <c r="M219" i="14"/>
  <c r="M731" i="14"/>
  <c r="L596" i="14"/>
  <c r="I616" i="14"/>
  <c r="I644" i="14"/>
  <c r="J1028" i="14"/>
  <c r="I130" i="14"/>
  <c r="L615" i="14"/>
  <c r="I277" i="14"/>
  <c r="J793" i="14"/>
  <c r="L426" i="14"/>
  <c r="L138" i="14"/>
  <c r="M965" i="14"/>
  <c r="J901" i="14"/>
  <c r="K133" i="14"/>
  <c r="I179" i="14"/>
  <c r="J744" i="14"/>
  <c r="L910" i="14"/>
  <c r="L677" i="14"/>
  <c r="I349" i="14"/>
  <c r="K877" i="14"/>
  <c r="J438" i="14"/>
  <c r="I514" i="14"/>
  <c r="K514" i="14"/>
  <c r="K312" i="14"/>
  <c r="M312" i="14"/>
  <c r="I239" i="14"/>
  <c r="J239" i="14"/>
  <c r="J499" i="14"/>
  <c r="M421" i="14"/>
  <c r="I49" i="14"/>
  <c r="I739" i="14"/>
  <c r="M651" i="14"/>
  <c r="I891" i="14"/>
  <c r="K102" i="14"/>
  <c r="K253" i="14"/>
  <c r="L49" i="14"/>
  <c r="I651" i="14"/>
  <c r="J284" i="14"/>
  <c r="L1025" i="14"/>
  <c r="K756" i="14"/>
  <c r="M756" i="14"/>
  <c r="I756" i="14"/>
  <c r="J383" i="14"/>
  <c r="K383" i="14"/>
  <c r="I853" i="14"/>
  <c r="J853" i="14"/>
  <c r="J80" i="14"/>
  <c r="I563" i="14"/>
  <c r="J563" i="14"/>
  <c r="L563" i="14"/>
  <c r="M563" i="14"/>
  <c r="L977" i="14"/>
  <c r="I977" i="14"/>
  <c r="I748" i="14"/>
  <c r="K748" i="14"/>
  <c r="L748" i="14"/>
  <c r="M567" i="14"/>
  <c r="I567" i="14"/>
  <c r="J223" i="14"/>
  <c r="K223" i="14"/>
  <c r="J222" i="14"/>
  <c r="K222" i="14"/>
  <c r="K414" i="14"/>
  <c r="L414" i="14"/>
  <c r="M980" i="14"/>
  <c r="L787" i="14"/>
  <c r="I758" i="14"/>
  <c r="K758" i="14"/>
  <c r="L758" i="14"/>
  <c r="J276" i="14"/>
  <c r="K276" i="14"/>
  <c r="L276" i="14"/>
  <c r="L95" i="14"/>
  <c r="I95" i="14"/>
  <c r="J95" i="14"/>
  <c r="K95" i="14"/>
  <c r="M95" i="14"/>
  <c r="K54" i="14"/>
  <c r="M610" i="14"/>
  <c r="I610" i="14"/>
  <c r="L610" i="14"/>
  <c r="I471" i="14"/>
  <c r="K471" i="14"/>
  <c r="K325" i="14"/>
  <c r="M325" i="14"/>
  <c r="J325" i="14"/>
  <c r="I325" i="14"/>
  <c r="K421" i="14"/>
  <c r="J421" i="14"/>
  <c r="L421" i="14"/>
  <c r="K127" i="14"/>
  <c r="J127" i="14"/>
  <c r="L127" i="14"/>
  <c r="I169" i="14"/>
  <c r="L169" i="14"/>
  <c r="M169" i="14"/>
  <c r="K169" i="14"/>
  <c r="M73" i="14"/>
  <c r="J73" i="14"/>
  <c r="K73" i="14"/>
  <c r="J65" i="14"/>
  <c r="J54" i="14"/>
  <c r="L784" i="14"/>
  <c r="M784" i="14"/>
  <c r="I784" i="14"/>
  <c r="K784" i="14"/>
  <c r="I427" i="14"/>
  <c r="J427" i="14"/>
  <c r="M366" i="14"/>
  <c r="K366" i="14"/>
  <c r="J366" i="14"/>
  <c r="I725" i="14"/>
  <c r="M127" i="14"/>
  <c r="I84" i="14"/>
  <c r="K628" i="14"/>
  <c r="K626" i="14"/>
  <c r="M968" i="14"/>
  <c r="J968" i="14"/>
  <c r="J728" i="14"/>
  <c r="L728" i="14"/>
  <c r="M93" i="14"/>
  <c r="K93" i="14"/>
  <c r="I93" i="14"/>
  <c r="J251" i="14"/>
  <c r="K251" i="14"/>
  <c r="K753" i="14"/>
  <c r="M753" i="14"/>
  <c r="M624" i="14"/>
  <c r="L624" i="14"/>
  <c r="J624" i="14"/>
  <c r="L473" i="14"/>
  <c r="J473" i="14"/>
  <c r="I336" i="14"/>
  <c r="L336" i="14"/>
  <c r="M336" i="14"/>
  <c r="J336" i="14"/>
  <c r="K403" i="14"/>
  <c r="I403" i="14"/>
  <c r="M403" i="14"/>
  <c r="K424" i="14"/>
  <c r="M424" i="14"/>
  <c r="M326" i="14"/>
  <c r="J326" i="14"/>
  <c r="M568" i="14"/>
  <c r="I568" i="14"/>
  <c r="J568" i="14"/>
  <c r="L568" i="14"/>
  <c r="J157" i="14"/>
  <c r="L157" i="14"/>
  <c r="K157" i="14"/>
  <c r="M157" i="14"/>
  <c r="K149" i="14"/>
  <c r="M149" i="14"/>
  <c r="J149" i="14"/>
  <c r="I119" i="14"/>
  <c r="K119" i="14"/>
  <c r="M119" i="14"/>
  <c r="J129" i="14"/>
  <c r="M129" i="14"/>
  <c r="L129" i="14"/>
  <c r="J1025" i="14"/>
  <c r="L622" i="14"/>
  <c r="K336" i="14"/>
  <c r="I1025" i="14"/>
  <c r="J754" i="14"/>
  <c r="L73" i="14"/>
  <c r="L403" i="14"/>
  <c r="I473" i="14"/>
  <c r="I754" i="14"/>
  <c r="K867" i="14"/>
  <c r="I73" i="14"/>
  <c r="J403" i="14"/>
  <c r="K445" i="14"/>
  <c r="M294" i="14"/>
  <c r="I582" i="14"/>
  <c r="I443" i="14"/>
  <c r="M455" i="14"/>
  <c r="I222" i="14"/>
  <c r="L605" i="14"/>
  <c r="J605" i="14"/>
  <c r="L695" i="14"/>
  <c r="M695" i="14"/>
  <c r="I695" i="14"/>
  <c r="K956" i="14"/>
  <c r="I956" i="14"/>
  <c r="J956" i="14"/>
  <c r="L848" i="14"/>
  <c r="I848" i="14"/>
  <c r="J848" i="14"/>
  <c r="M848" i="14"/>
  <c r="I685" i="14"/>
  <c r="M685" i="14"/>
  <c r="J685" i="14"/>
  <c r="K685" i="14"/>
  <c r="M482" i="14"/>
  <c r="K482" i="14"/>
  <c r="J482" i="14"/>
  <c r="L482" i="14"/>
  <c r="I482" i="14"/>
  <c r="J896" i="14"/>
  <c r="L896" i="14"/>
  <c r="L75" i="14"/>
  <c r="K75" i="14"/>
  <c r="M75" i="14"/>
  <c r="L254" i="14"/>
  <c r="K254" i="14"/>
  <c r="M254" i="14"/>
  <c r="K230" i="14"/>
  <c r="L230" i="14"/>
  <c r="I284" i="14"/>
  <c r="L459" i="14"/>
  <c r="L222" i="14"/>
  <c r="I397" i="14"/>
  <c r="J397" i="14"/>
  <c r="K397" i="14"/>
  <c r="L362" i="14"/>
  <c r="L893" i="14"/>
  <c r="J166" i="14"/>
  <c r="L166" i="14"/>
  <c r="I1005" i="14"/>
  <c r="J1005" i="14"/>
  <c r="M569" i="14"/>
  <c r="J569" i="14"/>
  <c r="L569" i="14"/>
  <c r="K1019" i="14"/>
  <c r="L1019" i="14"/>
  <c r="M1019" i="14"/>
  <c r="J1019" i="14"/>
  <c r="J817" i="14"/>
  <c r="L817" i="14"/>
  <c r="I823" i="14"/>
  <c r="L823" i="14"/>
  <c r="M823" i="14"/>
  <c r="J145" i="14"/>
  <c r="K145" i="14"/>
  <c r="L145" i="14"/>
  <c r="J964" i="14"/>
  <c r="K964" i="14"/>
  <c r="M672" i="14"/>
  <c r="I672" i="14"/>
  <c r="J672" i="14"/>
  <c r="K672" i="14"/>
  <c r="L672" i="14"/>
  <c r="K293" i="14"/>
  <c r="I293" i="14"/>
  <c r="M293" i="14"/>
  <c r="K362" i="14"/>
  <c r="K896" i="14"/>
  <c r="K893" i="14"/>
  <c r="M439" i="14"/>
  <c r="I439" i="14"/>
  <c r="K439" i="14"/>
  <c r="J774" i="14"/>
  <c r="K774" i="14"/>
  <c r="M774" i="14"/>
  <c r="L224" i="14"/>
  <c r="I224" i="14"/>
  <c r="K224" i="14"/>
  <c r="I217" i="14"/>
  <c r="J217" i="14"/>
  <c r="M122" i="14"/>
  <c r="I122" i="14"/>
  <c r="J362" i="14"/>
  <c r="L322" i="14"/>
  <c r="I893" i="14"/>
  <c r="K193" i="14"/>
  <c r="I348" i="14"/>
  <c r="M386" i="14"/>
  <c r="M320" i="14"/>
  <c r="J953" i="14"/>
  <c r="I845" i="14"/>
  <c r="J441" i="14"/>
  <c r="I938" i="14"/>
  <c r="M356" i="14"/>
  <c r="M701" i="14"/>
  <c r="I216" i="14"/>
  <c r="I507" i="14"/>
  <c r="J644" i="14"/>
  <c r="M985" i="14"/>
  <c r="J67" i="14"/>
  <c r="K316" i="14"/>
  <c r="K331" i="14"/>
  <c r="K174" i="14"/>
  <c r="I579" i="14"/>
  <c r="M602" i="14"/>
  <c r="I985" i="14"/>
  <c r="J133" i="14"/>
  <c r="K550" i="14"/>
  <c r="I485" i="14"/>
  <c r="J855" i="14"/>
  <c r="K89" i="14"/>
  <c r="L380" i="14"/>
  <c r="I550" i="14"/>
  <c r="L864" i="14"/>
  <c r="K661" i="14"/>
  <c r="M59" i="14"/>
  <c r="L783" i="14"/>
  <c r="I191" i="14"/>
  <c r="I426" i="14"/>
  <c r="K843" i="14"/>
  <c r="J435" i="14"/>
  <c r="M895" i="14"/>
  <c r="M165" i="14"/>
  <c r="K932" i="14"/>
  <c r="J255" i="14"/>
  <c r="J506" i="14"/>
  <c r="M744" i="14"/>
  <c r="M536" i="14"/>
  <c r="M882" i="14"/>
  <c r="I1003" i="14"/>
  <c r="M916" i="14"/>
  <c r="J59" i="14"/>
  <c r="I783" i="14"/>
  <c r="M309" i="14"/>
  <c r="M191" i="14"/>
  <c r="K426" i="14"/>
  <c r="I400" i="14"/>
  <c r="L343" i="14"/>
  <c r="J309" i="14"/>
  <c r="M426" i="14"/>
  <c r="K400" i="14"/>
  <c r="I477" i="14"/>
  <c r="I306" i="14"/>
  <c r="M275" i="14"/>
  <c r="I249" i="14"/>
  <c r="L557" i="14"/>
  <c r="J167" i="14"/>
  <c r="J779" i="14"/>
  <c r="M960" i="14"/>
  <c r="J810" i="14"/>
  <c r="L141" i="14"/>
  <c r="M277" i="14"/>
  <c r="I343" i="14"/>
  <c r="L349" i="14"/>
  <c r="K440" i="14"/>
  <c r="I643" i="14"/>
  <c r="J407" i="14"/>
  <c r="L236" i="14"/>
  <c r="J164" i="14"/>
  <c r="J91" i="14"/>
  <c r="K343" i="14"/>
  <c r="L440" i="14"/>
  <c r="I309" i="14"/>
  <c r="I692" i="14"/>
  <c r="M306" i="14"/>
  <c r="K275" i="14"/>
  <c r="M958" i="14"/>
  <c r="K561" i="14"/>
  <c r="M249" i="14"/>
  <c r="M43" i="14"/>
  <c r="K779" i="14"/>
  <c r="L711" i="14"/>
  <c r="L960" i="14"/>
  <c r="K141" i="14"/>
  <c r="L277" i="14"/>
  <c r="K859" i="14"/>
  <c r="K81" i="14"/>
  <c r="J349" i="14"/>
  <c r="L724" i="14"/>
  <c r="L643" i="14"/>
  <c r="K671" i="14"/>
  <c r="J275" i="14"/>
  <c r="M868" i="14"/>
  <c r="L561" i="14"/>
  <c r="L249" i="14"/>
  <c r="J711" i="14"/>
  <c r="L862" i="14"/>
  <c r="M354" i="14"/>
  <c r="M252" i="14"/>
  <c r="M273" i="14"/>
  <c r="M349" i="14"/>
  <c r="J724" i="14"/>
  <c r="K643" i="14"/>
  <c r="L782" i="14"/>
  <c r="I903" i="14"/>
  <c r="K903" i="14"/>
  <c r="L505" i="14"/>
  <c r="J505" i="14"/>
  <c r="K505" i="14"/>
  <c r="I505" i="14"/>
  <c r="I986" i="14"/>
  <c r="J986" i="14"/>
  <c r="I773" i="14"/>
  <c r="J773" i="14"/>
  <c r="I118" i="14"/>
  <c r="J118" i="14"/>
  <c r="L118" i="14"/>
  <c r="L884" i="14"/>
  <c r="M884" i="14"/>
  <c r="L603" i="14"/>
  <c r="K603" i="14"/>
  <c r="J308" i="14"/>
  <c r="I308" i="14"/>
  <c r="I55" i="14"/>
  <c r="K55" i="14"/>
  <c r="L328" i="14"/>
  <c r="J125" i="14"/>
  <c r="K125" i="14"/>
  <c r="I762" i="14"/>
  <c r="M762" i="14"/>
  <c r="K762" i="14"/>
  <c r="M556" i="14"/>
  <c r="I556" i="14"/>
  <c r="J556" i="14"/>
  <c r="I245" i="14"/>
  <c r="J245" i="14"/>
  <c r="M245" i="14"/>
  <c r="K245" i="14"/>
  <c r="L245" i="14"/>
  <c r="I70" i="14"/>
  <c r="I425" i="14"/>
  <c r="M425" i="14"/>
  <c r="K425" i="14"/>
  <c r="J425" i="14"/>
  <c r="L425" i="14"/>
  <c r="I833" i="14"/>
  <c r="K833" i="14"/>
  <c r="M192" i="14"/>
  <c r="I192" i="14"/>
  <c r="L70" i="14"/>
  <c r="M505" i="14"/>
  <c r="K773" i="14"/>
  <c r="K994" i="14"/>
  <c r="M773" i="14"/>
  <c r="L192" i="14"/>
  <c r="J445" i="14"/>
  <c r="L753" i="14"/>
  <c r="K776" i="14"/>
  <c r="I994" i="14"/>
  <c r="I828" i="14"/>
  <c r="J828" i="14"/>
  <c r="I383" i="14"/>
  <c r="M383" i="14"/>
  <c r="L383" i="14"/>
  <c r="L582" i="14"/>
  <c r="L773" i="14"/>
  <c r="K624" i="14"/>
  <c r="J603" i="14"/>
  <c r="M445" i="14"/>
  <c r="I753" i="14"/>
  <c r="I776" i="14"/>
  <c r="J784" i="14"/>
  <c r="I246" i="14"/>
  <c r="M673" i="14"/>
  <c r="I673" i="14"/>
  <c r="J673" i="14"/>
  <c r="L543" i="14"/>
  <c r="J543" i="14"/>
  <c r="K543" i="14"/>
  <c r="K851" i="14"/>
  <c r="M851" i="14"/>
  <c r="K826" i="14"/>
  <c r="L826" i="14"/>
  <c r="I826" i="14"/>
  <c r="M826" i="14"/>
  <c r="M720" i="14"/>
  <c r="I720" i="14"/>
  <c r="J518" i="14"/>
  <c r="L518" i="14"/>
  <c r="K518" i="14"/>
  <c r="M518" i="14"/>
  <c r="I518" i="14"/>
  <c r="J555" i="14"/>
  <c r="L555" i="14"/>
  <c r="K555" i="14"/>
  <c r="M555" i="14"/>
  <c r="L437" i="14"/>
  <c r="I437" i="14"/>
  <c r="J437" i="14"/>
  <c r="K437" i="14"/>
  <c r="M143" i="14"/>
  <c r="K143" i="14"/>
  <c r="J524" i="14"/>
  <c r="K524" i="14"/>
  <c r="I524" i="14"/>
  <c r="K311" i="14"/>
  <c r="M314" i="14"/>
  <c r="L524" i="14"/>
  <c r="M993" i="14"/>
  <c r="M46" i="14"/>
  <c r="L284" i="14"/>
  <c r="M609" i="14"/>
  <c r="K330" i="14"/>
  <c r="J739" i="14"/>
  <c r="L739" i="14"/>
  <c r="I929" i="14"/>
  <c r="J929" i="14"/>
  <c r="J867" i="14"/>
  <c r="I867" i="14"/>
  <c r="M535" i="14"/>
  <c r="I535" i="14"/>
  <c r="J634" i="14"/>
  <c r="M634" i="14"/>
  <c r="I634" i="14"/>
  <c r="K634" i="14"/>
  <c r="L142" i="14"/>
  <c r="J142" i="14"/>
  <c r="M746" i="14"/>
  <c r="J746" i="14"/>
  <c r="I528" i="14"/>
  <c r="J528" i="14"/>
  <c r="K528" i="14"/>
  <c r="M528" i="14"/>
  <c r="L528" i="14"/>
  <c r="I491" i="14"/>
  <c r="M491" i="14"/>
  <c r="M392" i="14"/>
  <c r="I392" i="14"/>
  <c r="I276" i="14"/>
  <c r="M276" i="14"/>
  <c r="J146" i="14"/>
  <c r="I146" i="14"/>
  <c r="K146" i="14"/>
  <c r="L146" i="14"/>
  <c r="L193" i="14"/>
  <c r="I193" i="14"/>
  <c r="M193" i="14"/>
  <c r="I314" i="14"/>
  <c r="M739" i="14"/>
  <c r="L584" i="14"/>
  <c r="J993" i="14"/>
  <c r="K838" i="14"/>
  <c r="L609" i="14"/>
  <c r="I330" i="14"/>
  <c r="I764" i="14"/>
  <c r="L764" i="14"/>
  <c r="J562" i="14"/>
  <c r="L562" i="14"/>
  <c r="K323" i="14"/>
  <c r="J323" i="14"/>
  <c r="I323" i="14"/>
  <c r="K802" i="14"/>
  <c r="L802" i="14"/>
  <c r="L975" i="14"/>
  <c r="M975" i="14"/>
  <c r="I975" i="14"/>
  <c r="J975" i="14"/>
  <c r="K975" i="14"/>
  <c r="J610" i="14"/>
  <c r="K610" i="14"/>
  <c r="J471" i="14"/>
  <c r="M471" i="14"/>
  <c r="L471" i="14"/>
  <c r="M874" i="14"/>
  <c r="I874" i="14"/>
  <c r="J874" i="14"/>
  <c r="L530" i="14"/>
  <c r="J530" i="14"/>
  <c r="L314" i="14"/>
  <c r="L993" i="14"/>
  <c r="K562" i="14"/>
  <c r="M612" i="14"/>
  <c r="I296" i="14"/>
  <c r="M783" i="14"/>
  <c r="K881" i="14"/>
  <c r="J1006" i="14"/>
  <c r="M1006" i="14"/>
  <c r="L1006" i="14"/>
  <c r="K1006" i="14"/>
  <c r="I286" i="14"/>
  <c r="K286" i="14"/>
  <c r="L286" i="14"/>
  <c r="L788" i="14"/>
  <c r="M788" i="14"/>
  <c r="K788" i="14"/>
  <c r="L770" i="14"/>
  <c r="J770" i="14"/>
  <c r="L681" i="14"/>
  <c r="K681" i="14"/>
  <c r="K962" i="14"/>
  <c r="J962" i="14"/>
  <c r="L962" i="14"/>
  <c r="M962" i="14"/>
  <c r="K427" i="14"/>
  <c r="M427" i="14"/>
  <c r="K891" i="14"/>
  <c r="J891" i="14"/>
  <c r="L366" i="14"/>
  <c r="I366" i="14"/>
  <c r="M688" i="14"/>
  <c r="L688" i="14"/>
  <c r="I346" i="14"/>
  <c r="L346" i="14"/>
  <c r="M121" i="14"/>
  <c r="K121" i="14"/>
  <c r="J271" i="14"/>
  <c r="K271" i="14"/>
  <c r="M271" i="14"/>
  <c r="J51" i="14"/>
  <c r="I51" i="14"/>
  <c r="K314" i="14"/>
  <c r="L762" i="14"/>
  <c r="K993" i="14"/>
  <c r="I562" i="14"/>
  <c r="M414" i="14"/>
  <c r="K142" i="14"/>
  <c r="J612" i="14"/>
  <c r="M296" i="14"/>
  <c r="L626" i="14"/>
  <c r="J783" i="14"/>
  <c r="J881" i="14"/>
  <c r="J327" i="14"/>
  <c r="I327" i="14"/>
  <c r="L327" i="14"/>
  <c r="K327" i="14"/>
  <c r="K558" i="14"/>
  <c r="I558" i="14"/>
  <c r="M558" i="14"/>
  <c r="L797" i="14"/>
  <c r="K797" i="14"/>
  <c r="K328" i="14"/>
  <c r="M328" i="14"/>
  <c r="J813" i="14"/>
  <c r="K813" i="14"/>
  <c r="M813" i="14"/>
  <c r="L813" i="14"/>
  <c r="I813" i="14"/>
  <c r="M270" i="14"/>
  <c r="L270" i="14"/>
  <c r="L369" i="14"/>
  <c r="K369" i="14"/>
  <c r="I369" i="14"/>
  <c r="J158" i="14"/>
  <c r="I158" i="14"/>
  <c r="M158" i="14"/>
  <c r="I66" i="14"/>
  <c r="J66" i="14"/>
  <c r="L63" i="14"/>
  <c r="K63" i="14"/>
  <c r="I63" i="14"/>
  <c r="L941" i="14"/>
  <c r="K941" i="14"/>
  <c r="M99" i="14"/>
  <c r="L99" i="14"/>
  <c r="I603" i="14"/>
  <c r="M257" i="14"/>
  <c r="K905" i="14"/>
  <c r="M905" i="14"/>
  <c r="I973" i="14"/>
  <c r="L973" i="14"/>
  <c r="I805" i="14"/>
  <c r="M805" i="14"/>
  <c r="L1001" i="14"/>
  <c r="J1001" i="14"/>
  <c r="M1001" i="14"/>
  <c r="K1001" i="14"/>
  <c r="J113" i="14"/>
  <c r="I113" i="14"/>
  <c r="L461" i="14"/>
  <c r="I461" i="14"/>
  <c r="K461" i="14"/>
  <c r="J461" i="14"/>
  <c r="L570" i="14"/>
  <c r="M570" i="14"/>
  <c r="K570" i="14"/>
  <c r="J570" i="14"/>
  <c r="J584" i="14"/>
  <c r="M584" i="14"/>
  <c r="K584" i="14"/>
  <c r="K123" i="14"/>
  <c r="M123" i="14"/>
  <c r="I123" i="14"/>
  <c r="J44" i="14"/>
  <c r="I44" i="14"/>
  <c r="L44" i="14"/>
  <c r="M44" i="14"/>
  <c r="L259" i="14"/>
  <c r="J259" i="14"/>
  <c r="I669" i="14"/>
  <c r="M603" i="14"/>
  <c r="L244" i="14"/>
  <c r="L154" i="14"/>
  <c r="M154" i="14"/>
  <c r="J154" i="14"/>
  <c r="K154" i="14"/>
  <c r="L1014" i="14"/>
  <c r="J1014" i="14"/>
  <c r="I1014" i="14"/>
  <c r="K1014" i="14"/>
  <c r="M1014" i="14"/>
  <c r="J246" i="14"/>
  <c r="L246" i="14"/>
  <c r="M246" i="14"/>
  <c r="J541" i="14"/>
  <c r="K541" i="14"/>
  <c r="L541" i="14"/>
  <c r="L755" i="14"/>
  <c r="K755" i="14"/>
  <c r="M755" i="14"/>
  <c r="J755" i="14"/>
  <c r="I755" i="14"/>
  <c r="J647" i="14"/>
  <c r="M647" i="14"/>
  <c r="K647" i="14"/>
  <c r="L647" i="14"/>
  <c r="I647" i="14"/>
  <c r="M892" i="14"/>
  <c r="I892" i="14"/>
  <c r="J892" i="14"/>
  <c r="K953" i="14"/>
  <c r="L953" i="14"/>
  <c r="M953" i="14"/>
  <c r="I416" i="14"/>
  <c r="J762" i="14"/>
  <c r="M66" i="14"/>
  <c r="J805" i="14"/>
  <c r="I541" i="14"/>
  <c r="K296" i="14"/>
  <c r="K820" i="14"/>
  <c r="L125" i="14"/>
  <c r="K308" i="14"/>
  <c r="M541" i="14"/>
  <c r="K111" i="14"/>
  <c r="J296" i="14"/>
  <c r="L607" i="14"/>
  <c r="I820" i="14"/>
  <c r="I459" i="14"/>
  <c r="M459" i="14"/>
  <c r="K459" i="14"/>
  <c r="K279" i="14"/>
  <c r="M279" i="14"/>
  <c r="L279" i="14"/>
  <c r="I279" i="14"/>
  <c r="K1007" i="14"/>
  <c r="L1007" i="14"/>
  <c r="I1007" i="14"/>
  <c r="K728" i="14"/>
  <c r="M728" i="14"/>
  <c r="I728" i="14"/>
  <c r="J514" i="14"/>
  <c r="M514" i="14"/>
  <c r="L514" i="14"/>
  <c r="K662" i="14"/>
  <c r="M662" i="14"/>
  <c r="I662" i="14"/>
  <c r="J662" i="14"/>
  <c r="J931" i="14"/>
  <c r="M931" i="14"/>
  <c r="K289" i="14"/>
  <c r="J289" i="14"/>
  <c r="L93" i="14"/>
  <c r="J93" i="14"/>
  <c r="J934" i="14"/>
  <c r="I934" i="14"/>
  <c r="L934" i="14"/>
  <c r="K740" i="14"/>
  <c r="I740" i="14"/>
  <c r="L740" i="14"/>
  <c r="J740" i="14"/>
  <c r="M304" i="14"/>
  <c r="K304" i="14"/>
  <c r="K572" i="14"/>
  <c r="M572" i="14"/>
  <c r="I251" i="14"/>
  <c r="L251" i="14"/>
  <c r="M251" i="14"/>
  <c r="M493" i="14"/>
  <c r="I493" i="14"/>
  <c r="L493" i="14"/>
  <c r="K493" i="14"/>
  <c r="I519" i="14"/>
  <c r="M519" i="14"/>
  <c r="L519" i="14"/>
  <c r="J519" i="14"/>
  <c r="J342" i="14"/>
  <c r="K342" i="14"/>
  <c r="I342" i="14"/>
  <c r="I282" i="14"/>
  <c r="M282" i="14"/>
  <c r="K226" i="14"/>
  <c r="I226" i="14"/>
  <c r="L226" i="14"/>
  <c r="M226" i="14"/>
  <c r="J226" i="14"/>
  <c r="J290" i="14"/>
  <c r="K290" i="14"/>
  <c r="M166" i="14"/>
  <c r="K166" i="14"/>
  <c r="I166" i="14"/>
  <c r="M194" i="14"/>
  <c r="L194" i="14"/>
  <c r="M130" i="14"/>
  <c r="L130" i="14"/>
  <c r="J130" i="14"/>
  <c r="K986" i="14"/>
  <c r="M308" i="14"/>
  <c r="M740" i="14"/>
  <c r="I656" i="14"/>
  <c r="L558" i="14"/>
  <c r="K351" i="14"/>
  <c r="M63" i="14"/>
  <c r="K214" i="14"/>
  <c r="J214" i="14"/>
  <c r="M214" i="14"/>
  <c r="I214" i="14"/>
  <c r="K181" i="14"/>
  <c r="J181" i="14"/>
  <c r="J918" i="14"/>
  <c r="K918" i="14"/>
  <c r="L918" i="14"/>
  <c r="I750" i="14"/>
  <c r="M750" i="14"/>
  <c r="K490" i="14"/>
  <c r="L490" i="14"/>
  <c r="I374" i="14"/>
  <c r="J374" i="14"/>
  <c r="L907" i="14"/>
  <c r="M907" i="14"/>
  <c r="K907" i="14"/>
  <c r="L124" i="14"/>
  <c r="K124" i="14"/>
  <c r="M56" i="14"/>
  <c r="I56" i="14"/>
  <c r="J56" i="14"/>
  <c r="K912" i="14"/>
  <c r="M912" i="14"/>
  <c r="L912" i="14"/>
  <c r="J468" i="14"/>
  <c r="I468" i="14"/>
  <c r="M921" i="14"/>
  <c r="J921" i="14"/>
  <c r="K921" i="14"/>
  <c r="L722" i="14"/>
  <c r="M722" i="14"/>
  <c r="J722" i="14"/>
  <c r="J687" i="14"/>
  <c r="I687" i="14"/>
  <c r="M687" i="14"/>
  <c r="M517" i="14"/>
  <c r="K517" i="14"/>
  <c r="I517" i="14"/>
  <c r="L517" i="14"/>
  <c r="M231" i="14"/>
  <c r="J231" i="14"/>
  <c r="K231" i="14"/>
  <c r="I557" i="14"/>
  <c r="J557" i="14"/>
  <c r="M557" i="14"/>
  <c r="J930" i="14"/>
  <c r="K930" i="14"/>
  <c r="L538" i="14"/>
  <c r="J538" i="14"/>
  <c r="M538" i="14"/>
  <c r="I538" i="14"/>
  <c r="K538" i="14"/>
  <c r="M494" i="14"/>
  <c r="J494" i="14"/>
  <c r="K494" i="14"/>
  <c r="I494" i="14"/>
  <c r="L258" i="14"/>
  <c r="K258" i="14"/>
  <c r="J258" i="14"/>
  <c r="M258" i="14"/>
  <c r="I212" i="14"/>
  <c r="J212" i="14"/>
  <c r="M212" i="14"/>
  <c r="K212" i="14"/>
  <c r="L212" i="14"/>
  <c r="I234" i="14"/>
  <c r="K234" i="14"/>
  <c r="M234" i="14"/>
  <c r="J234" i="14"/>
  <c r="K266" i="14"/>
  <c r="I266" i="14"/>
  <c r="J266" i="14"/>
  <c r="L208" i="14"/>
  <c r="M208" i="14"/>
  <c r="K208" i="14"/>
  <c r="I208" i="14"/>
  <c r="J263" i="14"/>
  <c r="I263" i="14"/>
  <c r="K263" i="14"/>
  <c r="L263" i="14"/>
  <c r="J144" i="14"/>
  <c r="I144" i="14"/>
  <c r="I87" i="14"/>
  <c r="L87" i="14"/>
  <c r="J87" i="14"/>
  <c r="K87" i="14"/>
  <c r="L986" i="14"/>
  <c r="L308" i="14"/>
  <c r="I124" i="14"/>
  <c r="I555" i="14"/>
  <c r="L656" i="14"/>
  <c r="J558" i="14"/>
  <c r="L351" i="14"/>
  <c r="L304" i="14"/>
  <c r="J63" i="14"/>
  <c r="M146" i="14"/>
  <c r="M815" i="14"/>
  <c r="I391" i="14"/>
  <c r="K929" i="14"/>
  <c r="J517" i="14"/>
  <c r="K656" i="14"/>
  <c r="L115" i="14"/>
  <c r="M323" i="14"/>
  <c r="J656" i="14"/>
  <c r="M222" i="14"/>
  <c r="I611" i="14"/>
  <c r="M1007" i="14"/>
  <c r="I271" i="14"/>
  <c r="M342" i="14"/>
  <c r="K977" i="14"/>
  <c r="M977" i="14"/>
  <c r="J977" i="14"/>
  <c r="L937" i="14"/>
  <c r="K937" i="14"/>
  <c r="L54" i="14"/>
  <c r="I54" i="14"/>
  <c r="M237" i="14"/>
  <c r="I237" i="14"/>
  <c r="L644" i="14"/>
  <c r="L488" i="14"/>
  <c r="J75" i="14"/>
  <c r="J866" i="14"/>
  <c r="K563" i="14"/>
  <c r="K1025" i="14"/>
  <c r="J343" i="14"/>
  <c r="K848" i="14"/>
  <c r="K375" i="14"/>
  <c r="J375" i="14"/>
  <c r="I375" i="14"/>
  <c r="I331" i="14"/>
  <c r="M331" i="14"/>
  <c r="J189" i="14"/>
  <c r="L189" i="14"/>
  <c r="J864" i="14"/>
  <c r="I864" i="14"/>
  <c r="K602" i="14"/>
  <c r="L602" i="14"/>
  <c r="L497" i="14"/>
  <c r="J497" i="14"/>
  <c r="M497" i="14"/>
  <c r="J464" i="14"/>
  <c r="I464" i="14"/>
  <c r="K464" i="14"/>
  <c r="L464" i="14"/>
  <c r="L548" i="14"/>
  <c r="K548" i="14"/>
  <c r="L386" i="14"/>
  <c r="I386" i="14"/>
  <c r="M89" i="14"/>
  <c r="L89" i="14"/>
  <c r="I269" i="14"/>
  <c r="J269" i="14"/>
  <c r="I316" i="14"/>
  <c r="L316" i="14"/>
  <c r="M316" i="14"/>
  <c r="M185" i="14"/>
  <c r="K185" i="14"/>
  <c r="L185" i="14"/>
  <c r="K52" i="14"/>
  <c r="I52" i="14"/>
  <c r="M52" i="14"/>
  <c r="L52" i="14"/>
  <c r="L91" i="14"/>
  <c r="M91" i="14"/>
  <c r="K91" i="14"/>
  <c r="M120" i="14"/>
  <c r="L120" i="14"/>
  <c r="K189" i="14"/>
  <c r="J677" i="14"/>
  <c r="I356" i="14"/>
  <c r="L384" i="14"/>
  <c r="J1037" i="14"/>
  <c r="L1037" i="14"/>
  <c r="J731" i="14"/>
  <c r="I731" i="14"/>
  <c r="L731" i="14"/>
  <c r="I951" i="14"/>
  <c r="J951" i="14"/>
  <c r="J402" i="14"/>
  <c r="K402" i="14"/>
  <c r="M402" i="14"/>
  <c r="I402" i="14"/>
  <c r="K825" i="14"/>
  <c r="M825" i="14"/>
  <c r="J262" i="14"/>
  <c r="K262" i="14"/>
  <c r="J353" i="14"/>
  <c r="M353" i="14"/>
  <c r="J542" i="14"/>
  <c r="M542" i="14"/>
  <c r="J449" i="14"/>
  <c r="M449" i="14"/>
  <c r="J292" i="14"/>
  <c r="K292" i="14"/>
  <c r="J136" i="14"/>
  <c r="M136" i="14"/>
  <c r="L77" i="14"/>
  <c r="I77" i="14"/>
  <c r="K568" i="14"/>
  <c r="I362" i="14"/>
  <c r="L119" i="14"/>
  <c r="L713" i="14"/>
  <c r="I189" i="14"/>
  <c r="I677" i="14"/>
  <c r="J356" i="14"/>
  <c r="M230" i="14"/>
  <c r="J384" i="14"/>
  <c r="L806" i="14"/>
  <c r="L845" i="14"/>
  <c r="M442" i="14"/>
  <c r="K442" i="14"/>
  <c r="J442" i="14"/>
  <c r="I442" i="14"/>
  <c r="I798" i="14"/>
  <c r="K798" i="14"/>
  <c r="K605" i="14"/>
  <c r="I605" i="14"/>
  <c r="I344" i="14"/>
  <c r="K344" i="14"/>
  <c r="J695" i="14"/>
  <c r="K695" i="14"/>
  <c r="M473" i="14"/>
  <c r="K473" i="14"/>
  <c r="K455" i="14"/>
  <c r="I455" i="14"/>
  <c r="J455" i="14"/>
  <c r="I819" i="14"/>
  <c r="L819" i="14"/>
  <c r="J870" i="14"/>
  <c r="I870" i="14"/>
  <c r="L420" i="14"/>
  <c r="J420" i="14"/>
  <c r="K664" i="14"/>
  <c r="L664" i="14"/>
  <c r="I675" i="14"/>
  <c r="K675" i="14"/>
  <c r="M896" i="14"/>
  <c r="I896" i="14"/>
  <c r="J424" i="14"/>
  <c r="L424" i="14"/>
  <c r="K326" i="14"/>
  <c r="L326" i="14"/>
  <c r="L454" i="14"/>
  <c r="K454" i="14"/>
  <c r="I200" i="14"/>
  <c r="J200" i="14"/>
  <c r="I72" i="14"/>
  <c r="J72" i="14"/>
  <c r="M72" i="14"/>
  <c r="L61" i="14"/>
  <c r="J61" i="14"/>
  <c r="K61" i="14"/>
  <c r="L685" i="14"/>
  <c r="J845" i="14"/>
  <c r="K420" i="14"/>
  <c r="J819" i="14"/>
  <c r="J254" i="14"/>
  <c r="K269" i="14"/>
  <c r="L450" i="14"/>
  <c r="I450" i="14"/>
  <c r="M164" i="14"/>
  <c r="I164" i="14"/>
  <c r="L963" i="14"/>
  <c r="K963" i="14"/>
  <c r="L1035" i="14"/>
  <c r="J1035" i="14"/>
  <c r="J850" i="14"/>
  <c r="I850" i="14"/>
  <c r="M280" i="14"/>
  <c r="K280" i="14"/>
  <c r="K916" i="14"/>
  <c r="I916" i="14"/>
  <c r="L810" i="14"/>
  <c r="I810" i="14"/>
  <c r="I1002" i="14"/>
  <c r="M1002" i="14"/>
  <c r="L1002" i="14"/>
  <c r="I619" i="14"/>
  <c r="L619" i="14"/>
  <c r="K619" i="14"/>
  <c r="L184" i="14"/>
  <c r="M184" i="14"/>
  <c r="K184" i="14"/>
  <c r="K405" i="14"/>
  <c r="I405" i="14"/>
  <c r="J405" i="14"/>
  <c r="L400" i="14"/>
  <c r="J400" i="14"/>
  <c r="J692" i="14"/>
  <c r="M692" i="14"/>
  <c r="M477" i="14"/>
  <c r="J477" i="14"/>
  <c r="K477" i="14"/>
  <c r="M385" i="14"/>
  <c r="K385" i="14"/>
  <c r="I385" i="14"/>
  <c r="J385" i="14"/>
  <c r="J390" i="14"/>
  <c r="K390" i="14"/>
  <c r="L137" i="14"/>
  <c r="J137" i="14"/>
  <c r="I137" i="14"/>
  <c r="J191" i="14"/>
  <c r="K191" i="14"/>
  <c r="M210" i="14"/>
  <c r="L210" i="14"/>
  <c r="J106" i="14"/>
  <c r="M106" i="14"/>
  <c r="I174" i="14"/>
  <c r="L174" i="14"/>
  <c r="M174" i="14"/>
  <c r="J116" i="14"/>
  <c r="I116" i="14"/>
  <c r="M107" i="14"/>
  <c r="J107" i="14"/>
  <c r="L320" i="14"/>
  <c r="M116" i="14"/>
  <c r="L106" i="14"/>
  <c r="I600" i="14"/>
  <c r="K129" i="14"/>
  <c r="J280" i="14"/>
  <c r="M810" i="14"/>
  <c r="I420" i="14"/>
  <c r="I254" i="14"/>
  <c r="M269" i="14"/>
  <c r="M850" i="14"/>
  <c r="L987" i="14"/>
  <c r="I987" i="14"/>
  <c r="I278" i="14"/>
  <c r="K278" i="14"/>
  <c r="L278" i="14"/>
  <c r="K927" i="14"/>
  <c r="J927" i="14"/>
  <c r="L927" i="14"/>
  <c r="I779" i="14"/>
  <c r="L779" i="14"/>
  <c r="J637" i="14"/>
  <c r="K637" i="14"/>
  <c r="M637" i="14"/>
  <c r="L679" i="14"/>
  <c r="K679" i="14"/>
  <c r="I682" i="14"/>
  <c r="J682" i="14"/>
  <c r="K855" i="14"/>
  <c r="M855" i="14"/>
  <c r="L795" i="14"/>
  <c r="K795" i="14"/>
  <c r="K595" i="14"/>
  <c r="L595" i="14"/>
  <c r="K1017" i="14"/>
  <c r="I1017" i="14"/>
  <c r="J1017" i="14"/>
  <c r="M1017" i="14"/>
  <c r="M653" i="14"/>
  <c r="J653" i="14"/>
  <c r="M632" i="14"/>
  <c r="J632" i="14"/>
  <c r="K345" i="14"/>
  <c r="L345" i="14"/>
  <c r="M345" i="14"/>
  <c r="M671" i="14"/>
  <c r="L671" i="14"/>
  <c r="M658" i="14"/>
  <c r="I658" i="14"/>
  <c r="M434" i="14"/>
  <c r="K434" i="14"/>
  <c r="J380" i="14"/>
  <c r="I380" i="14"/>
  <c r="J338" i="14"/>
  <c r="I338" i="14"/>
  <c r="L338" i="14"/>
  <c r="M300" i="14"/>
  <c r="I300" i="14"/>
  <c r="K300" i="14"/>
  <c r="M287" i="14"/>
  <c r="K287" i="14"/>
  <c r="L287" i="14"/>
  <c r="M407" i="14"/>
  <c r="I407" i="14"/>
  <c r="L407" i="14"/>
  <c r="I469" i="14"/>
  <c r="M469" i="14"/>
  <c r="L469" i="14"/>
  <c r="M147" i="14"/>
  <c r="L147" i="14"/>
  <c r="K147" i="14"/>
  <c r="I147" i="14"/>
  <c r="I431" i="14"/>
  <c r="L431" i="14"/>
  <c r="K431" i="14"/>
  <c r="K94" i="14"/>
  <c r="I94" i="14"/>
  <c r="J94" i="14"/>
  <c r="I47" i="14"/>
  <c r="J47" i="14"/>
  <c r="J57" i="14"/>
  <c r="I57" i="14"/>
  <c r="M57" i="14"/>
  <c r="J85" i="14"/>
  <c r="I85" i="14"/>
  <c r="M292" i="14"/>
  <c r="J675" i="14"/>
  <c r="K320" i="14"/>
  <c r="J431" i="14"/>
  <c r="I326" i="14"/>
  <c r="K614" i="14"/>
  <c r="L116" i="14"/>
  <c r="K600" i="14"/>
  <c r="J345" i="14"/>
  <c r="I129" i="14"/>
  <c r="I280" i="14"/>
  <c r="L344" i="14"/>
  <c r="L72" i="14"/>
  <c r="L269" i="14"/>
  <c r="J664" i="14"/>
  <c r="L850" i="14"/>
  <c r="J469" i="14"/>
  <c r="J658" i="14"/>
  <c r="M927" i="14"/>
  <c r="L378" i="14"/>
  <c r="M378" i="14"/>
  <c r="K148" i="14"/>
  <c r="M148" i="14"/>
  <c r="I127" i="14"/>
  <c r="K615" i="14"/>
  <c r="J216" i="14"/>
  <c r="J138" i="14"/>
  <c r="I1029" i="14"/>
  <c r="K882" i="14"/>
  <c r="J273" i="14"/>
  <c r="L774" i="14"/>
  <c r="I1019" i="14"/>
  <c r="K138" i="14"/>
  <c r="M711" i="14"/>
  <c r="L441" i="14"/>
  <c r="K862" i="14"/>
  <c r="M908" i="14"/>
  <c r="I273" i="14"/>
  <c r="L652" i="14"/>
  <c r="M321" i="14"/>
  <c r="M183" i="14"/>
  <c r="K793" i="14"/>
  <c r="M862" i="14"/>
  <c r="L478" i="14"/>
  <c r="K652" i="14"/>
  <c r="L183" i="14"/>
  <c r="L793" i="14"/>
  <c r="K978" i="14"/>
  <c r="I978" i="14"/>
  <c r="J978" i="14"/>
  <c r="M978" i="14"/>
  <c r="L978" i="14"/>
  <c r="J443" i="14"/>
  <c r="J122" i="14"/>
  <c r="K674" i="14"/>
  <c r="M674" i="14"/>
  <c r="L674" i="14"/>
  <c r="J674" i="14"/>
  <c r="I674" i="14"/>
  <c r="K339" i="14"/>
  <c r="J339" i="14"/>
  <c r="I339" i="14"/>
  <c r="L339" i="14"/>
  <c r="M339" i="14"/>
  <c r="I697" i="14"/>
  <c r="K697" i="14"/>
  <c r="J697" i="14"/>
  <c r="L697" i="14"/>
  <c r="M697" i="14"/>
  <c r="M911" i="14"/>
  <c r="K911" i="14"/>
  <c r="J911" i="14"/>
  <c r="L911" i="14"/>
  <c r="I911" i="14"/>
  <c r="I475" i="14"/>
  <c r="J475" i="14"/>
  <c r="K475" i="14"/>
  <c r="L475" i="14"/>
  <c r="M475" i="14"/>
  <c r="L612" i="14"/>
  <c r="I612" i="14"/>
  <c r="J836" i="14"/>
  <c r="L836" i="14"/>
  <c r="I836" i="14"/>
  <c r="K836" i="14"/>
  <c r="M836" i="14"/>
  <c r="L225" i="14"/>
  <c r="M225" i="14"/>
  <c r="J225" i="14"/>
  <c r="I225" i="14"/>
  <c r="K225" i="14"/>
  <c r="K608" i="14"/>
  <c r="I608" i="14"/>
  <c r="J608" i="14"/>
  <c r="M608" i="14"/>
  <c r="L608" i="14"/>
  <c r="K460" i="14"/>
  <c r="J460" i="14"/>
  <c r="I460" i="14"/>
  <c r="L460" i="14"/>
  <c r="M460" i="14"/>
  <c r="I1024" i="14"/>
  <c r="M1024" i="14"/>
  <c r="J1024" i="14"/>
  <c r="K1024" i="14"/>
  <c r="L1024" i="14"/>
  <c r="K847" i="14"/>
  <c r="M847" i="14"/>
  <c r="L847" i="14"/>
  <c r="I847" i="14"/>
  <c r="J847" i="14"/>
  <c r="K899" i="14"/>
  <c r="M899" i="14"/>
  <c r="L899" i="14"/>
  <c r="I899" i="14"/>
  <c r="J899" i="14"/>
  <c r="J522" i="14"/>
  <c r="K522" i="14"/>
  <c r="L522" i="14"/>
  <c r="M522" i="14"/>
  <c r="I522" i="14"/>
  <c r="K472" i="14"/>
  <c r="L472" i="14"/>
  <c r="M472" i="14"/>
  <c r="J472" i="14"/>
  <c r="I472" i="14"/>
  <c r="I180" i="14"/>
  <c r="K180" i="14"/>
  <c r="J180" i="14"/>
  <c r="L180" i="14"/>
  <c r="M180" i="14"/>
  <c r="J760" i="14"/>
  <c r="M760" i="14"/>
  <c r="I760" i="14"/>
  <c r="M70" i="14"/>
  <c r="J70" i="14"/>
  <c r="J447" i="14"/>
  <c r="I447" i="14"/>
  <c r="L447" i="14"/>
  <c r="M447" i="14"/>
  <c r="K447" i="14"/>
  <c r="J335" i="14"/>
  <c r="I335" i="14"/>
  <c r="L335" i="14"/>
  <c r="M335" i="14"/>
  <c r="K335" i="14"/>
  <c r="L83" i="14"/>
  <c r="J83" i="14"/>
  <c r="K83" i="14"/>
  <c r="J205" i="14"/>
  <c r="I205" i="14"/>
  <c r="L205" i="14"/>
  <c r="M205" i="14"/>
  <c r="K205" i="14"/>
  <c r="I156" i="14"/>
  <c r="J156" i="14"/>
  <c r="L156" i="14"/>
  <c r="K156" i="14"/>
  <c r="M156" i="14"/>
  <c r="M422" i="14"/>
  <c r="I422" i="14"/>
  <c r="J422" i="14"/>
  <c r="K422" i="14"/>
  <c r="L422" i="14"/>
  <c r="I832" i="14"/>
  <c r="L832" i="14"/>
  <c r="K832" i="14"/>
  <c r="J832" i="14"/>
  <c r="M832" i="14"/>
  <c r="I854" i="14"/>
  <c r="M854" i="14"/>
  <c r="J854" i="14"/>
  <c r="K854" i="14"/>
  <c r="L854" i="14"/>
  <c r="I691" i="14"/>
  <c r="J691" i="14"/>
  <c r="K691" i="14"/>
  <c r="M691" i="14"/>
  <c r="L691" i="14"/>
  <c r="J898" i="14"/>
  <c r="M898" i="14"/>
  <c r="I898" i="14"/>
  <c r="K898" i="14"/>
  <c r="L898" i="14"/>
  <c r="I670" i="14"/>
  <c r="J670" i="14"/>
  <c r="K670" i="14"/>
  <c r="L670" i="14"/>
  <c r="M670" i="14"/>
  <c r="I1021" i="14"/>
  <c r="J1021" i="14"/>
  <c r="K1021" i="14"/>
  <c r="M1021" i="14"/>
  <c r="L1021" i="14"/>
  <c r="K894" i="14"/>
  <c r="J894" i="14"/>
  <c r="L894" i="14"/>
  <c r="I894" i="14"/>
  <c r="M894" i="14"/>
  <c r="I935" i="14"/>
  <c r="J935" i="14"/>
  <c r="K935" i="14"/>
  <c r="L935" i="14"/>
  <c r="M935" i="14"/>
  <c r="L631" i="14"/>
  <c r="K631" i="14"/>
  <c r="J631" i="14"/>
  <c r="I631" i="14"/>
  <c r="M631" i="14"/>
  <c r="L984" i="14"/>
  <c r="J984" i="14"/>
  <c r="I984" i="14"/>
  <c r="M984" i="14"/>
  <c r="K984" i="14"/>
  <c r="K218" i="14"/>
  <c r="M218" i="14"/>
  <c r="L218" i="14"/>
  <c r="I218" i="14"/>
  <c r="J218" i="14"/>
  <c r="L580" i="14"/>
  <c r="J580" i="14"/>
  <c r="I580" i="14"/>
  <c r="M580" i="14"/>
  <c r="J759" i="14"/>
  <c r="L759" i="14"/>
  <c r="M759" i="14"/>
  <c r="K759" i="14"/>
  <c r="I759" i="14"/>
  <c r="I170" i="14"/>
  <c r="J170" i="14"/>
  <c r="K170" i="14"/>
  <c r="M170" i="14"/>
  <c r="L170" i="14"/>
  <c r="J835" i="14"/>
  <c r="K835" i="14"/>
  <c r="M835" i="14"/>
  <c r="L835" i="14"/>
  <c r="L949" i="14"/>
  <c r="I949" i="14"/>
  <c r="M949" i="14"/>
  <c r="I733" i="14"/>
  <c r="J733" i="14"/>
  <c r="K733" i="14"/>
  <c r="M733" i="14"/>
  <c r="L733" i="14"/>
  <c r="L833" i="14"/>
  <c r="J833" i="14"/>
  <c r="M833" i="14"/>
  <c r="M515" i="14"/>
  <c r="K515" i="14"/>
  <c r="I515" i="14"/>
  <c r="J515" i="14"/>
  <c r="L515" i="14"/>
  <c r="I872" i="14"/>
  <c r="L872" i="14"/>
  <c r="K872" i="14"/>
  <c r="J872" i="14"/>
  <c r="M872" i="14"/>
  <c r="M547" i="14"/>
  <c r="L547" i="14"/>
  <c r="I547" i="14"/>
  <c r="J547" i="14"/>
  <c r="K547" i="14"/>
  <c r="L397" i="14"/>
  <c r="M397" i="14"/>
  <c r="L160" i="14"/>
  <c r="M160" i="14"/>
  <c r="K160" i="14"/>
  <c r="J160" i="14"/>
  <c r="I160" i="14"/>
  <c r="K456" i="14"/>
  <c r="M456" i="14"/>
  <c r="L456" i="14"/>
  <c r="I456" i="14"/>
  <c r="J456" i="14"/>
  <c r="I639" i="14"/>
  <c r="K639" i="14"/>
  <c r="L639" i="14"/>
  <c r="J639" i="14"/>
  <c r="M639" i="14"/>
  <c r="K104" i="14"/>
  <c r="J104" i="14"/>
  <c r="M104" i="14"/>
  <c r="I104" i="14"/>
  <c r="L104" i="14"/>
  <c r="M109" i="14"/>
  <c r="J109" i="14"/>
  <c r="K109" i="14"/>
  <c r="L109" i="14"/>
  <c r="J737" i="14"/>
  <c r="K737" i="14"/>
  <c r="I737" i="14"/>
  <c r="L737" i="14"/>
  <c r="M737" i="14"/>
  <c r="J689" i="14"/>
  <c r="M689" i="14"/>
  <c r="I689" i="14"/>
  <c r="L689" i="14"/>
  <c r="K694" i="14"/>
  <c r="I694" i="14"/>
  <c r="J694" i="14"/>
  <c r="L694" i="14"/>
  <c r="M694" i="14"/>
  <c r="L76" i="14"/>
  <c r="J76" i="14"/>
  <c r="K76" i="14"/>
  <c r="M76" i="14"/>
  <c r="I76" i="14"/>
  <c r="K429" i="14"/>
  <c r="I429" i="14"/>
  <c r="J429" i="14"/>
  <c r="L429" i="14"/>
  <c r="M429" i="14"/>
  <c r="J153" i="14"/>
  <c r="M153" i="14"/>
  <c r="I153" i="14"/>
  <c r="L153" i="14"/>
  <c r="K153" i="14"/>
  <c r="J285" i="14"/>
  <c r="K285" i="14"/>
  <c r="L285" i="14"/>
  <c r="M285" i="14"/>
  <c r="L412" i="14"/>
  <c r="M412" i="14"/>
  <c r="J412" i="14"/>
  <c r="K412" i="14"/>
  <c r="I412" i="14"/>
  <c r="L295" i="14"/>
  <c r="K295" i="14"/>
  <c r="I295" i="14"/>
  <c r="J295" i="14"/>
  <c r="L243" i="14"/>
  <c r="J243" i="14"/>
  <c r="M243" i="14"/>
  <c r="K243" i="14"/>
  <c r="J305" i="14"/>
  <c r="L305" i="14"/>
  <c r="K305" i="14"/>
  <c r="M305" i="14"/>
  <c r="I305" i="14"/>
  <c r="K40" i="14"/>
  <c r="I40" i="14"/>
  <c r="J40" i="14"/>
  <c r="M40" i="14"/>
  <c r="L40" i="14"/>
  <c r="I302" i="14"/>
  <c r="K302" i="14"/>
  <c r="J302" i="14"/>
  <c r="L302" i="14"/>
  <c r="M302" i="14"/>
  <c r="J192" i="14"/>
  <c r="K192" i="14"/>
  <c r="I171" i="14"/>
  <c r="L171" i="14"/>
  <c r="J171" i="14"/>
  <c r="M171" i="14"/>
  <c r="I134" i="14"/>
  <c r="K134" i="14"/>
  <c r="L134" i="14"/>
  <c r="M134" i="14"/>
  <c r="J134" i="14"/>
  <c r="K823" i="14"/>
  <c r="L217" i="14"/>
  <c r="I861" i="14"/>
  <c r="J861" i="14"/>
  <c r="K861" i="14"/>
  <c r="L861" i="14"/>
  <c r="M861" i="14"/>
  <c r="I860" i="14"/>
  <c r="J860" i="14"/>
  <c r="K860" i="14"/>
  <c r="M860" i="14"/>
  <c r="L860" i="14"/>
  <c r="I665" i="14"/>
  <c r="J665" i="14"/>
  <c r="K665" i="14"/>
  <c r="L665" i="14"/>
  <c r="K837" i="14"/>
  <c r="L837" i="14"/>
  <c r="M837" i="14"/>
  <c r="J837" i="14"/>
  <c r="I837" i="14"/>
  <c r="I749" i="14"/>
  <c r="K749" i="14"/>
  <c r="J749" i="14"/>
  <c r="M749" i="14"/>
  <c r="L749" i="14"/>
  <c r="I565" i="14"/>
  <c r="K565" i="14"/>
  <c r="J565" i="14"/>
  <c r="L565" i="14"/>
  <c r="M565" i="14"/>
  <c r="L556" i="14"/>
  <c r="K556" i="14"/>
  <c r="K175" i="14"/>
  <c r="I175" i="14"/>
  <c r="L175" i="14"/>
  <c r="M175" i="14"/>
  <c r="K641" i="14"/>
  <c r="I641" i="14"/>
  <c r="M641" i="14"/>
  <c r="L641" i="14"/>
  <c r="J641" i="14"/>
  <c r="L202" i="14"/>
  <c r="J202" i="14"/>
  <c r="I202" i="14"/>
  <c r="M202" i="14"/>
  <c r="K202" i="14"/>
  <c r="J172" i="14"/>
  <c r="I172" i="14"/>
  <c r="K172" i="14"/>
  <c r="M172" i="14"/>
  <c r="L172" i="14"/>
  <c r="M135" i="14"/>
  <c r="K135" i="14"/>
  <c r="I135" i="14"/>
  <c r="L135" i="14"/>
  <c r="M310" i="14"/>
  <c r="I310" i="14"/>
  <c r="K310" i="14"/>
  <c r="L416" i="14"/>
  <c r="M416" i="14"/>
  <c r="I329" i="14"/>
  <c r="K329" i="14"/>
  <c r="L329" i="14"/>
  <c r="M329" i="14"/>
  <c r="J329" i="14"/>
  <c r="L324" i="14"/>
  <c r="M324" i="14"/>
  <c r="K324" i="14"/>
  <c r="I324" i="14"/>
  <c r="J324" i="14"/>
  <c r="K188" i="14"/>
  <c r="L188" i="14"/>
  <c r="M188" i="14"/>
  <c r="I188" i="14"/>
  <c r="J188" i="14"/>
  <c r="I83" i="14"/>
  <c r="I520" i="14"/>
  <c r="M520" i="14"/>
  <c r="K520" i="14"/>
  <c r="J520" i="14"/>
  <c r="L520" i="14"/>
  <c r="K332" i="14"/>
  <c r="L332" i="14"/>
  <c r="M332" i="14"/>
  <c r="I332" i="14"/>
  <c r="J332" i="14"/>
  <c r="I786" i="14"/>
  <c r="L786" i="14"/>
  <c r="J786" i="14"/>
  <c r="K786" i="14"/>
  <c r="M786" i="14"/>
  <c r="I830" i="14"/>
  <c r="K830" i="14"/>
  <c r="L830" i="14"/>
  <c r="M830" i="14"/>
  <c r="J830" i="14"/>
  <c r="I1036" i="14"/>
  <c r="L1036" i="14"/>
  <c r="J1036" i="14"/>
  <c r="K1036" i="14"/>
  <c r="M1036" i="14"/>
  <c r="I842" i="14"/>
  <c r="J842" i="14"/>
  <c r="L842" i="14"/>
  <c r="K842" i="14"/>
  <c r="M842" i="14"/>
  <c r="J585" i="14"/>
  <c r="I585" i="14"/>
  <c r="M585" i="14"/>
  <c r="K585" i="14"/>
  <c r="L585" i="14"/>
  <c r="J886" i="14"/>
  <c r="I886" i="14"/>
  <c r="M886" i="14"/>
  <c r="K886" i="14"/>
  <c r="L886" i="14"/>
  <c r="I594" i="14"/>
  <c r="L594" i="14"/>
  <c r="M594" i="14"/>
  <c r="K594" i="14"/>
  <c r="J594" i="14"/>
  <c r="I569" i="14"/>
  <c r="K569" i="14"/>
  <c r="J388" i="14"/>
  <c r="K388" i="14"/>
  <c r="L388" i="14"/>
  <c r="I388" i="14"/>
  <c r="M388" i="14"/>
  <c r="M1034" i="14"/>
  <c r="K1034" i="14"/>
  <c r="I1034" i="14"/>
  <c r="J1034" i="14"/>
  <c r="L1034" i="14"/>
  <c r="J549" i="14"/>
  <c r="L549" i="14"/>
  <c r="M549" i="14"/>
  <c r="K549" i="14"/>
  <c r="I549" i="14"/>
  <c r="L754" i="14"/>
  <c r="M754" i="14"/>
  <c r="K82" i="14"/>
  <c r="L82" i="14"/>
  <c r="M82" i="14"/>
  <c r="I82" i="14"/>
  <c r="J82" i="14"/>
  <c r="J812" i="14"/>
  <c r="M812" i="14"/>
  <c r="I812" i="14"/>
  <c r="K812" i="14"/>
  <c r="L812" i="14"/>
  <c r="I785" i="14"/>
  <c r="K785" i="14"/>
  <c r="J785" i="14"/>
  <c r="M785" i="14"/>
  <c r="L717" i="14"/>
  <c r="M717" i="14"/>
  <c r="J717" i="14"/>
  <c r="I717" i="14"/>
  <c r="K717" i="14"/>
  <c r="I817" i="14"/>
  <c r="K817" i="14"/>
  <c r="K500" i="14"/>
  <c r="I500" i="14"/>
  <c r="J500" i="14"/>
  <c r="L500" i="14"/>
  <c r="M500" i="14"/>
  <c r="L467" i="14"/>
  <c r="M467" i="14"/>
  <c r="I467" i="14"/>
  <c r="J467" i="14"/>
  <c r="L381" i="14"/>
  <c r="M381" i="14"/>
  <c r="K381" i="14"/>
  <c r="J381" i="14"/>
  <c r="I381" i="14"/>
  <c r="M145" i="14"/>
  <c r="I145" i="14"/>
  <c r="M448" i="14"/>
  <c r="I448" i="14"/>
  <c r="L448" i="14"/>
  <c r="I599" i="14"/>
  <c r="L599" i="14"/>
  <c r="M599" i="14"/>
  <c r="J599" i="14"/>
  <c r="K599" i="14"/>
  <c r="L964" i="14"/>
  <c r="I964" i="14"/>
  <c r="M964" i="14"/>
  <c r="I102" i="14"/>
  <c r="M102" i="14"/>
  <c r="I730" i="14"/>
  <c r="K730" i="14"/>
  <c r="M730" i="14"/>
  <c r="L730" i="14"/>
  <c r="J730" i="14"/>
  <c r="M667" i="14"/>
  <c r="J667" i="14"/>
  <c r="I667" i="14"/>
  <c r="L667" i="14"/>
  <c r="I897" i="14"/>
  <c r="K897" i="14"/>
  <c r="L897" i="14"/>
  <c r="M897" i="14"/>
  <c r="J897" i="14"/>
  <c r="I404" i="14"/>
  <c r="L404" i="14"/>
  <c r="M404" i="14"/>
  <c r="K404" i="14"/>
  <c r="J404" i="14"/>
  <c r="I132" i="14"/>
  <c r="J132" i="14"/>
  <c r="K132" i="14"/>
  <c r="M132" i="14"/>
  <c r="L132" i="14"/>
  <c r="M256" i="14"/>
  <c r="J256" i="14"/>
  <c r="I256" i="14"/>
  <c r="K256" i="14"/>
  <c r="L256" i="14"/>
  <c r="J389" i="14"/>
  <c r="I389" i="14"/>
  <c r="M389" i="14"/>
  <c r="L389" i="14"/>
  <c r="K389" i="14"/>
  <c r="M241" i="14"/>
  <c r="K241" i="14"/>
  <c r="L241" i="14"/>
  <c r="I241" i="14"/>
  <c r="J241" i="14"/>
  <c r="K265" i="14"/>
  <c r="L265" i="14"/>
  <c r="J265" i="14"/>
  <c r="I265" i="14"/>
  <c r="M265" i="14"/>
  <c r="M253" i="14"/>
  <c r="I253" i="14"/>
  <c r="J253" i="14"/>
  <c r="I283" i="14"/>
  <c r="J283" i="14"/>
  <c r="K283" i="14"/>
  <c r="L283" i="14"/>
  <c r="M283" i="14"/>
  <c r="K186" i="14"/>
  <c r="L186" i="14"/>
  <c r="M186" i="14"/>
  <c r="I186" i="14"/>
  <c r="J186" i="14"/>
  <c r="L128" i="14"/>
  <c r="M128" i="14"/>
  <c r="K128" i="14"/>
  <c r="I128" i="14"/>
  <c r="L112" i="14"/>
  <c r="M112" i="14"/>
  <c r="K171" i="14"/>
  <c r="K112" i="14"/>
  <c r="K217" i="14"/>
  <c r="K1005" i="14"/>
  <c r="L760" i="14"/>
  <c r="M796" i="14"/>
  <c r="K796" i="14"/>
  <c r="L796" i="14"/>
  <c r="I796" i="14"/>
  <c r="J796" i="14"/>
  <c r="I879" i="14"/>
  <c r="M879" i="14"/>
  <c r="K879" i="14"/>
  <c r="L879" i="14"/>
  <c r="J879" i="14"/>
  <c r="I1016" i="14"/>
  <c r="J1016" i="14"/>
  <c r="M1016" i="14"/>
  <c r="K1016" i="14"/>
  <c r="L1016" i="14"/>
  <c r="K648" i="14"/>
  <c r="M648" i="14"/>
  <c r="I648" i="14"/>
  <c r="J648" i="14"/>
  <c r="L648" i="14"/>
  <c r="L371" i="14"/>
  <c r="M371" i="14"/>
  <c r="J371" i="14"/>
  <c r="I371" i="14"/>
  <c r="K371" i="14"/>
  <c r="L597" i="14"/>
  <c r="K597" i="14"/>
  <c r="J597" i="14"/>
  <c r="I597" i="14"/>
  <c r="M597" i="14"/>
  <c r="L288" i="14"/>
  <c r="M288" i="14"/>
  <c r="I288" i="14"/>
  <c r="J288" i="14"/>
  <c r="K288" i="14"/>
  <c r="L650" i="14"/>
  <c r="M650" i="14"/>
  <c r="K650" i="14"/>
  <c r="I650" i="14"/>
  <c r="J650" i="14"/>
  <c r="M64" i="14"/>
  <c r="L64" i="14"/>
  <c r="K64" i="14"/>
  <c r="J64" i="14"/>
  <c r="I64" i="14"/>
  <c r="J361" i="14"/>
  <c r="K361" i="14"/>
  <c r="M361" i="14"/>
  <c r="L361" i="14"/>
  <c r="I361" i="14"/>
  <c r="K219" i="14"/>
  <c r="J219" i="14"/>
  <c r="I219" i="14"/>
  <c r="I267" i="14"/>
  <c r="J267" i="14"/>
  <c r="L267" i="14"/>
  <c r="M267" i="14"/>
  <c r="K267" i="14"/>
  <c r="M90" i="14"/>
  <c r="L90" i="14"/>
  <c r="I90" i="14"/>
  <c r="K90" i="14"/>
  <c r="K760" i="14"/>
  <c r="J1010" i="14"/>
  <c r="K1010" i="14"/>
  <c r="I1010" i="14"/>
  <c r="L1010" i="14"/>
  <c r="M1010" i="14"/>
  <c r="K433" i="14"/>
  <c r="I433" i="14"/>
  <c r="L433" i="14"/>
  <c r="M433" i="14"/>
  <c r="J433" i="14"/>
  <c r="J1013" i="14"/>
  <c r="K1013" i="14"/>
  <c r="L1013" i="14"/>
  <c r="I1013" i="14"/>
  <c r="M1013" i="14"/>
  <c r="J792" i="14"/>
  <c r="K792" i="14"/>
  <c r="I792" i="14"/>
  <c r="M792" i="14"/>
  <c r="L792" i="14"/>
  <c r="J663" i="14"/>
  <c r="I663" i="14"/>
  <c r="K663" i="14"/>
  <c r="M663" i="14"/>
  <c r="L663" i="14"/>
  <c r="M78" i="14"/>
  <c r="I78" i="14"/>
  <c r="J78" i="14"/>
  <c r="K78" i="14"/>
  <c r="L78" i="14"/>
  <c r="J756" i="14"/>
  <c r="L756" i="14"/>
  <c r="K914" i="14"/>
  <c r="I914" i="14"/>
  <c r="L914" i="14"/>
  <c r="M914" i="14"/>
  <c r="J914" i="14"/>
  <c r="K430" i="14"/>
  <c r="L430" i="14"/>
  <c r="M430" i="14"/>
  <c r="J430" i="14"/>
  <c r="I430" i="14"/>
  <c r="K1032" i="14"/>
  <c r="L1032" i="14"/>
  <c r="M1032" i="14"/>
  <c r="I1032" i="14"/>
  <c r="J1032" i="14"/>
  <c r="L1011" i="14"/>
  <c r="M1011" i="14"/>
  <c r="I1011" i="14"/>
  <c r="J1011" i="14"/>
  <c r="K1011" i="14"/>
  <c r="K800" i="14"/>
  <c r="L800" i="14"/>
  <c r="M800" i="14"/>
  <c r="I800" i="14"/>
  <c r="J800" i="14"/>
  <c r="I1020" i="14"/>
  <c r="J1020" i="14"/>
  <c r="K1020" i="14"/>
  <c r="L1020" i="14"/>
  <c r="M1020" i="14"/>
  <c r="L591" i="14"/>
  <c r="I591" i="14"/>
  <c r="K591" i="14"/>
  <c r="J591" i="14"/>
  <c r="M591" i="14"/>
  <c r="I1023" i="14"/>
  <c r="L1023" i="14"/>
  <c r="K1023" i="14"/>
  <c r="J1023" i="14"/>
  <c r="M1023" i="14"/>
  <c r="J761" i="14"/>
  <c r="L761" i="14"/>
  <c r="I761" i="14"/>
  <c r="M761" i="14"/>
  <c r="K761" i="14"/>
  <c r="I703" i="14"/>
  <c r="K703" i="14"/>
  <c r="M703" i="14"/>
  <c r="I693" i="14"/>
  <c r="K693" i="14"/>
  <c r="L693" i="14"/>
  <c r="M693" i="14"/>
  <c r="I423" i="14"/>
  <c r="K423" i="14"/>
  <c r="J423" i="14"/>
  <c r="L423" i="14"/>
  <c r="M423" i="14"/>
  <c r="I947" i="14"/>
  <c r="J947" i="14"/>
  <c r="L947" i="14"/>
  <c r="M947" i="14"/>
  <c r="K947" i="14"/>
  <c r="I298" i="14"/>
  <c r="M298" i="14"/>
  <c r="L298" i="14"/>
  <c r="J298" i="14"/>
  <c r="K298" i="14"/>
  <c r="K333" i="14"/>
  <c r="I333" i="14"/>
  <c r="M333" i="14"/>
  <c r="J333" i="14"/>
  <c r="J696" i="14"/>
  <c r="M696" i="14"/>
  <c r="K696" i="14"/>
  <c r="L696" i="14"/>
  <c r="I696" i="14"/>
  <c r="J415" i="14"/>
  <c r="L415" i="14"/>
  <c r="I415" i="14"/>
  <c r="K415" i="14"/>
  <c r="M415" i="14"/>
  <c r="K582" i="14"/>
  <c r="J582" i="14"/>
  <c r="I920" i="14"/>
  <c r="K920" i="14"/>
  <c r="L920" i="14"/>
  <c r="M920" i="14"/>
  <c r="J920" i="14"/>
  <c r="I232" i="14"/>
  <c r="K232" i="14"/>
  <c r="J232" i="14"/>
  <c r="M232" i="14"/>
  <c r="L232" i="14"/>
  <c r="J705" i="14"/>
  <c r="M705" i="14"/>
  <c r="I705" i="14"/>
  <c r="M623" i="14"/>
  <c r="I623" i="14"/>
  <c r="K623" i="14"/>
  <c r="J623" i="14"/>
  <c r="I628" i="14"/>
  <c r="M628" i="14"/>
  <c r="J628" i="14"/>
  <c r="M853" i="14"/>
  <c r="K853" i="14"/>
  <c r="L853" i="14"/>
  <c r="I367" i="14"/>
  <c r="J367" i="14"/>
  <c r="K367" i="14"/>
  <c r="L367" i="14"/>
  <c r="M367" i="14"/>
  <c r="K42" i="14"/>
  <c r="L42" i="14"/>
  <c r="I42" i="14"/>
  <c r="M42" i="14"/>
  <c r="J42" i="14"/>
  <c r="K80" i="14"/>
  <c r="L80" i="14"/>
  <c r="M80" i="14"/>
  <c r="L337" i="14"/>
  <c r="M337" i="14"/>
  <c r="J337" i="14"/>
  <c r="K337" i="14"/>
  <c r="I337" i="14"/>
  <c r="M213" i="14"/>
  <c r="I213" i="14"/>
  <c r="J213" i="14"/>
  <c r="K213" i="14"/>
  <c r="L213" i="14"/>
  <c r="I197" i="14"/>
  <c r="L197" i="14"/>
  <c r="J197" i="14"/>
  <c r="K197" i="14"/>
  <c r="M197" i="14"/>
  <c r="I199" i="14"/>
  <c r="K199" i="14"/>
  <c r="L199" i="14"/>
  <c r="M199" i="14"/>
  <c r="J199" i="14"/>
  <c r="J105" i="14"/>
  <c r="I105" i="14"/>
  <c r="L105" i="14"/>
  <c r="M105" i="14"/>
  <c r="K105" i="14"/>
  <c r="L227" i="14"/>
  <c r="M227" i="14"/>
  <c r="J227" i="14"/>
  <c r="K227" i="14"/>
  <c r="I227" i="14"/>
  <c r="I98" i="14"/>
  <c r="K98" i="14"/>
  <c r="J98" i="14"/>
  <c r="L98" i="14"/>
  <c r="M98" i="14"/>
  <c r="K79" i="14"/>
  <c r="J79" i="14"/>
  <c r="L79" i="14"/>
  <c r="M79" i="14"/>
  <c r="I68" i="14"/>
  <c r="J68" i="14"/>
  <c r="M68" i="14"/>
  <c r="L68" i="14"/>
  <c r="K68" i="14"/>
  <c r="M828" i="14"/>
  <c r="I112" i="14"/>
  <c r="M295" i="14"/>
  <c r="M1005" i="14"/>
  <c r="J949" i="14"/>
  <c r="I626" i="14"/>
  <c r="L623" i="14"/>
  <c r="J922" i="14"/>
  <c r="I922" i="14"/>
  <c r="K922" i="14"/>
  <c r="L922" i="14"/>
  <c r="M922" i="14"/>
  <c r="J913" i="14"/>
  <c r="L913" i="14"/>
  <c r="K913" i="14"/>
  <c r="M913" i="14"/>
  <c r="I913" i="14"/>
  <c r="I1026" i="14"/>
  <c r="J1026" i="14"/>
  <c r="L1026" i="14"/>
  <c r="K1026" i="14"/>
  <c r="M1026" i="14"/>
  <c r="I878" i="14"/>
  <c r="K878" i="14"/>
  <c r="J878" i="14"/>
  <c r="M878" i="14"/>
  <c r="L878" i="14"/>
  <c r="K358" i="14"/>
  <c r="L358" i="14"/>
  <c r="I358" i="14"/>
  <c r="M358" i="14"/>
  <c r="J358" i="14"/>
  <c r="J959" i="14"/>
  <c r="K959" i="14"/>
  <c r="L959" i="14"/>
  <c r="I959" i="14"/>
  <c r="M959" i="14"/>
  <c r="M365" i="14"/>
  <c r="L365" i="14"/>
  <c r="I365" i="14"/>
  <c r="K365" i="14"/>
  <c r="J365" i="14"/>
  <c r="M900" i="14"/>
  <c r="K900" i="14"/>
  <c r="L900" i="14"/>
  <c r="J900" i="14"/>
  <c r="I900" i="14"/>
  <c r="M735" i="14"/>
  <c r="I735" i="14"/>
  <c r="L735" i="14"/>
  <c r="J735" i="14"/>
  <c r="L1027" i="14"/>
  <c r="K1027" i="14"/>
  <c r="M1027" i="14"/>
  <c r="I1027" i="14"/>
  <c r="J1027" i="14"/>
  <c r="I738" i="14"/>
  <c r="J738" i="14"/>
  <c r="M738" i="14"/>
  <c r="L738" i="14"/>
  <c r="K738" i="14"/>
  <c r="K484" i="14"/>
  <c r="L484" i="14"/>
  <c r="I484" i="14"/>
  <c r="J484" i="14"/>
  <c r="M484" i="14"/>
  <c r="M444" i="14"/>
  <c r="J444" i="14"/>
  <c r="K444" i="14"/>
  <c r="L444" i="14"/>
  <c r="M821" i="14"/>
  <c r="I821" i="14"/>
  <c r="L821" i="14"/>
  <c r="J821" i="14"/>
  <c r="K821" i="14"/>
  <c r="I942" i="14"/>
  <c r="K942" i="14"/>
  <c r="J942" i="14"/>
  <c r="L942" i="14"/>
  <c r="M942" i="14"/>
  <c r="L645" i="14"/>
  <c r="J645" i="14"/>
  <c r="M645" i="14"/>
  <c r="I645" i="14"/>
  <c r="K645" i="14"/>
  <c r="L875" i="14"/>
  <c r="J875" i="14"/>
  <c r="I875" i="14"/>
  <c r="K875" i="14"/>
  <c r="I242" i="14"/>
  <c r="J242" i="14"/>
  <c r="K242" i="14"/>
  <c r="L242" i="14"/>
  <c r="M242" i="14"/>
  <c r="M224" i="14"/>
  <c r="J224" i="14"/>
  <c r="I103" i="14"/>
  <c r="J103" i="14"/>
  <c r="L103" i="14"/>
  <c r="M103" i="14"/>
  <c r="K103" i="14"/>
  <c r="M217" i="14"/>
  <c r="J957" i="14"/>
  <c r="M957" i="14"/>
  <c r="I957" i="14"/>
  <c r="K957" i="14"/>
  <c r="L957" i="14"/>
  <c r="M989" i="14"/>
  <c r="K989" i="14"/>
  <c r="I989" i="14"/>
  <c r="J989" i="14"/>
  <c r="L989" i="14"/>
  <c r="L705" i="14"/>
  <c r="M443" i="14"/>
  <c r="L828" i="14"/>
  <c r="L122" i="14"/>
  <c r="L1005" i="14"/>
  <c r="L703" i="14"/>
  <c r="J310" i="14"/>
  <c r="J626" i="14"/>
  <c r="I125" i="14"/>
  <c r="M125" i="14"/>
  <c r="L804" i="14"/>
  <c r="K804" i="14"/>
  <c r="I804" i="14"/>
  <c r="M804" i="14"/>
  <c r="J757" i="14"/>
  <c r="I757" i="14"/>
  <c r="M757" i="14"/>
  <c r="L757" i="14"/>
  <c r="K757" i="14"/>
  <c r="J808" i="14"/>
  <c r="I808" i="14"/>
  <c r="L808" i="14"/>
  <c r="M808" i="14"/>
  <c r="K808" i="14"/>
  <c r="J465" i="14"/>
  <c r="K465" i="14"/>
  <c r="L465" i="14"/>
  <c r="M465" i="14"/>
  <c r="I465" i="14"/>
  <c r="L439" i="14"/>
  <c r="J439" i="14"/>
  <c r="J710" i="14"/>
  <c r="L710" i="14"/>
  <c r="M710" i="14"/>
  <c r="I710" i="14"/>
  <c r="K710" i="14"/>
  <c r="M714" i="14"/>
  <c r="K714" i="14"/>
  <c r="J714" i="14"/>
  <c r="L714" i="14"/>
  <c r="I714" i="14"/>
  <c r="J379" i="14"/>
  <c r="K379" i="14"/>
  <c r="I379" i="14"/>
  <c r="M379" i="14"/>
  <c r="L379" i="14"/>
  <c r="J229" i="14"/>
  <c r="I229" i="14"/>
  <c r="M229" i="14"/>
  <c r="L229" i="14"/>
  <c r="K229" i="14"/>
  <c r="K416" i="14"/>
  <c r="I285" i="14"/>
  <c r="K705" i="14"/>
  <c r="L443" i="14"/>
  <c r="K828" i="14"/>
  <c r="K122" i="14"/>
  <c r="J703" i="14"/>
  <c r="L310" i="14"/>
  <c r="I887" i="14"/>
  <c r="K887" i="14"/>
  <c r="J887" i="14"/>
  <c r="L887" i="14"/>
  <c r="M887" i="14"/>
  <c r="I578" i="14"/>
  <c r="L578" i="14"/>
  <c r="K578" i="14"/>
  <c r="M578" i="14"/>
  <c r="J578" i="14"/>
  <c r="J807" i="14"/>
  <c r="L807" i="14"/>
  <c r="I807" i="14"/>
  <c r="K807" i="14"/>
  <c r="M807" i="14"/>
  <c r="M839" i="14"/>
  <c r="L839" i="14"/>
  <c r="I839" i="14"/>
  <c r="J839" i="14"/>
  <c r="K839" i="14"/>
  <c r="I566" i="14"/>
  <c r="J566" i="14"/>
  <c r="M566" i="14"/>
  <c r="K566" i="14"/>
  <c r="L566" i="14"/>
  <c r="K968" i="14"/>
  <c r="L968" i="14"/>
  <c r="J718" i="14"/>
  <c r="I718" i="14"/>
  <c r="L718" i="14"/>
  <c r="M718" i="14"/>
  <c r="K718" i="14"/>
  <c r="I838" i="14"/>
  <c r="J838" i="14"/>
  <c r="M502" i="14"/>
  <c r="I502" i="14"/>
  <c r="K502" i="14"/>
  <c r="L502" i="14"/>
  <c r="J502" i="14"/>
  <c r="L931" i="14"/>
  <c r="K931" i="14"/>
  <c r="I931" i="14"/>
  <c r="L114" i="14"/>
  <c r="M114" i="14"/>
  <c r="I114" i="14"/>
  <c r="J114" i="14"/>
  <c r="K114" i="14"/>
  <c r="K934" i="14"/>
  <c r="M934" i="14"/>
  <c r="J815" i="14"/>
  <c r="K815" i="14"/>
  <c r="L815" i="14"/>
  <c r="I304" i="14"/>
  <c r="J304" i="14"/>
  <c r="J312" i="14"/>
  <c r="I312" i="14"/>
  <c r="L312" i="14"/>
  <c r="I952" i="14"/>
  <c r="K952" i="14"/>
  <c r="M952" i="14"/>
  <c r="L952" i="14"/>
  <c r="J952" i="14"/>
  <c r="J540" i="14"/>
  <c r="I540" i="14"/>
  <c r="K540" i="14"/>
  <c r="M540" i="14"/>
  <c r="L540" i="14"/>
  <c r="K633" i="14"/>
  <c r="I633" i="14"/>
  <c r="L633" i="14"/>
  <c r="M633" i="14"/>
  <c r="J633" i="14"/>
  <c r="M239" i="14"/>
  <c r="K239" i="14"/>
  <c r="L239" i="14"/>
  <c r="I290" i="14"/>
  <c r="L290" i="14"/>
  <c r="M290" i="14"/>
  <c r="I194" i="14"/>
  <c r="J194" i="14"/>
  <c r="L71" i="14"/>
  <c r="M71" i="14"/>
  <c r="I71" i="14"/>
  <c r="J71" i="14"/>
  <c r="K71" i="14"/>
  <c r="K363" i="14"/>
  <c r="K353" i="14"/>
  <c r="M311" i="14"/>
  <c r="M680" i="14"/>
  <c r="K708" i="14"/>
  <c r="L139" i="14"/>
  <c r="M559" i="14"/>
  <c r="J625" i="14"/>
  <c r="I360" i="14"/>
  <c r="M1038" i="14"/>
  <c r="J799" i="14"/>
  <c r="J512" i="14"/>
  <c r="L1004" i="14"/>
  <c r="K376" i="14"/>
  <c r="J408" i="14"/>
  <c r="M436" i="14"/>
  <c r="L445" i="14"/>
  <c r="J803" i="14"/>
  <c r="I291" i="14"/>
  <c r="J657" i="14"/>
  <c r="I50" i="14"/>
  <c r="L955" i="14"/>
  <c r="K915" i="14"/>
  <c r="J260" i="14"/>
  <c r="I136" i="14"/>
  <c r="K542" i="14"/>
  <c r="K523" i="14"/>
  <c r="K573" i="14"/>
  <c r="I470" i="14"/>
  <c r="I601" i="14"/>
  <c r="K525" i="14"/>
  <c r="M418" i="14"/>
  <c r="I770" i="14"/>
  <c r="K176" i="14"/>
  <c r="L161" i="14"/>
  <c r="K194" i="14"/>
  <c r="I747" i="14"/>
  <c r="I319" i="14"/>
  <c r="L781" i="14"/>
  <c r="I781" i="14"/>
  <c r="M781" i="14"/>
  <c r="J781" i="14"/>
  <c r="K781" i="14"/>
  <c r="J909" i="14"/>
  <c r="I909" i="14"/>
  <c r="M909" i="14"/>
  <c r="K970" i="14"/>
  <c r="L970" i="14"/>
  <c r="M970" i="14"/>
  <c r="I970" i="14"/>
  <c r="J970" i="14"/>
  <c r="I936" i="14"/>
  <c r="L936" i="14"/>
  <c r="M936" i="14"/>
  <c r="L301" i="14"/>
  <c r="M301" i="14"/>
  <c r="M941" i="14"/>
  <c r="M748" i="14"/>
  <c r="I844" i="14"/>
  <c r="L844" i="14"/>
  <c r="K844" i="14"/>
  <c r="M844" i="14"/>
  <c r="J844" i="14"/>
  <c r="L869" i="14"/>
  <c r="I869" i="14"/>
  <c r="K869" i="14"/>
  <c r="J869" i="14"/>
  <c r="M869" i="14"/>
  <c r="J758" i="14"/>
  <c r="M758" i="14"/>
  <c r="J391" i="14"/>
  <c r="L391" i="14"/>
  <c r="L318" i="14"/>
  <c r="M318" i="14"/>
  <c r="J318" i="14"/>
  <c r="I318" i="14"/>
  <c r="L163" i="14"/>
  <c r="M163" i="14"/>
  <c r="K577" i="14"/>
  <c r="L491" i="14"/>
  <c r="J74" i="14"/>
  <c r="J598" i="14"/>
  <c r="J414" i="14"/>
  <c r="M734" i="14"/>
  <c r="I734" i="14"/>
  <c r="J734" i="14"/>
  <c r="K734" i="14"/>
  <c r="L734" i="14"/>
  <c r="K483" i="14"/>
  <c r="I483" i="14"/>
  <c r="K510" i="14"/>
  <c r="L510" i="14"/>
  <c r="L368" i="14"/>
  <c r="M368" i="14"/>
  <c r="J368" i="14"/>
  <c r="K368" i="14"/>
  <c r="J359" i="14"/>
  <c r="K359" i="14"/>
  <c r="L680" i="14"/>
  <c r="J1000" i="14"/>
  <c r="I414" i="14"/>
  <c r="J206" i="14"/>
  <c r="J531" i="14"/>
  <c r="I618" i="14"/>
  <c r="M618" i="14"/>
  <c r="K1000" i="14"/>
  <c r="K319" i="14"/>
  <c r="M669" i="14"/>
  <c r="K669" i="14"/>
  <c r="L669" i="14"/>
  <c r="M577" i="14"/>
  <c r="I999" i="14"/>
  <c r="K999" i="14"/>
  <c r="L999" i="14"/>
  <c r="J999" i="14"/>
  <c r="M999" i="14"/>
  <c r="L716" i="14"/>
  <c r="K716" i="14"/>
  <c r="J716" i="14"/>
  <c r="M716" i="14"/>
  <c r="L319" i="14"/>
  <c r="I97" i="14"/>
  <c r="J97" i="14"/>
  <c r="M97" i="14"/>
  <c r="K97" i="14"/>
  <c r="I1000" i="14"/>
  <c r="I954" i="14"/>
  <c r="J954" i="14"/>
  <c r="M954" i="14"/>
  <c r="K954" i="14"/>
  <c r="L954" i="14"/>
  <c r="I303" i="14"/>
  <c r="J303" i="14"/>
  <c r="K303" i="14"/>
  <c r="M303" i="14"/>
  <c r="L303" i="14"/>
  <c r="I220" i="14"/>
  <c r="K220" i="14"/>
  <c r="J220" i="14"/>
  <c r="M220" i="14"/>
  <c r="L220" i="14"/>
  <c r="K831" i="14"/>
  <c r="I831" i="14"/>
  <c r="M831" i="14"/>
  <c r="M575" i="14"/>
  <c r="L575" i="14"/>
  <c r="I575" i="14"/>
  <c r="J575" i="14"/>
  <c r="K575" i="14"/>
  <c r="J330" i="14"/>
  <c r="L330" i="14"/>
  <c r="L182" i="14"/>
  <c r="J182" i="14"/>
  <c r="K182" i="14"/>
  <c r="I182" i="14"/>
  <c r="J62" i="14"/>
  <c r="K62" i="14"/>
  <c r="L62" i="14"/>
  <c r="M62" i="14"/>
  <c r="L281" i="14"/>
  <c r="I281" i="14"/>
  <c r="L598" i="14"/>
  <c r="I941" i="14"/>
  <c r="K99" i="14"/>
  <c r="I272" i="14"/>
  <c r="E19" i="12"/>
  <c r="F19" i="12"/>
  <c r="J852" i="14"/>
  <c r="K976" i="14"/>
  <c r="M976" i="14"/>
  <c r="J976" i="14"/>
  <c r="L976" i="14"/>
  <c r="I976" i="14"/>
  <c r="J846" i="14"/>
  <c r="L846" i="14"/>
  <c r="M846" i="14"/>
  <c r="K846" i="14"/>
  <c r="I846" i="14"/>
  <c r="J939" i="14"/>
  <c r="L939" i="14"/>
  <c r="I939" i="14"/>
  <c r="I529" i="14"/>
  <c r="J529" i="14"/>
  <c r="L529" i="14"/>
  <c r="M529" i="14"/>
  <c r="K529" i="14"/>
  <c r="L636" i="14"/>
  <c r="J636" i="14"/>
  <c r="M636" i="14"/>
  <c r="I636" i="14"/>
  <c r="K636" i="14"/>
  <c r="M492" i="14"/>
  <c r="L492" i="14"/>
  <c r="K492" i="14"/>
  <c r="L341" i="14"/>
  <c r="M341" i="14"/>
  <c r="L238" i="14"/>
  <c r="J905" i="14"/>
  <c r="L113" i="14"/>
  <c r="K598" i="14"/>
  <c r="J941" i="14"/>
  <c r="J99" i="14"/>
  <c r="M564" i="14"/>
  <c r="K822" i="14"/>
  <c r="M822" i="14"/>
  <c r="I822" i="14"/>
  <c r="I816" i="14"/>
  <c r="J816" i="14"/>
  <c r="K816" i="14"/>
  <c r="L816" i="14"/>
  <c r="M816" i="14"/>
  <c r="I457" i="14"/>
  <c r="J457" i="14"/>
  <c r="M60" i="14"/>
  <c r="K60" i="14"/>
  <c r="L60" i="14"/>
  <c r="J264" i="14"/>
  <c r="I264" i="14"/>
  <c r="K264" i="14"/>
  <c r="L264" i="14"/>
  <c r="M264" i="14"/>
  <c r="J334" i="14"/>
  <c r="J997" i="14"/>
  <c r="L74" i="14"/>
  <c r="M598" i="14"/>
  <c r="I99" i="14"/>
  <c r="I937" i="14"/>
  <c r="K973" i="14"/>
  <c r="J272" i="14"/>
  <c r="I382" i="14"/>
  <c r="K382" i="14"/>
  <c r="L382" i="14"/>
  <c r="K961" i="14"/>
  <c r="L961" i="14"/>
  <c r="I961" i="14"/>
  <c r="M961" i="14"/>
  <c r="K539" i="14"/>
  <c r="I539" i="14"/>
  <c r="M539" i="14"/>
  <c r="I207" i="14"/>
  <c r="J207" i="14"/>
  <c r="L207" i="14"/>
  <c r="M207" i="14"/>
  <c r="K207" i="14"/>
  <c r="L233" i="14"/>
  <c r="K233" i="14"/>
  <c r="I233" i="14"/>
  <c r="J233" i="14"/>
  <c r="M233" i="14"/>
  <c r="M297" i="14"/>
  <c r="L297" i="14"/>
  <c r="L215" i="14"/>
  <c r="M215" i="14"/>
  <c r="I215" i="14"/>
  <c r="J215" i="14"/>
  <c r="K215" i="14"/>
  <c r="I997" i="14"/>
  <c r="K74" i="14"/>
  <c r="K901" i="14"/>
  <c r="J707" i="14"/>
  <c r="L929" i="14"/>
  <c r="M929" i="14"/>
  <c r="K419" i="14"/>
  <c r="L419" i="14"/>
  <c r="M419" i="14"/>
  <c r="I238" i="14"/>
  <c r="J508" i="14"/>
  <c r="I508" i="14"/>
  <c r="L508" i="14"/>
  <c r="M508" i="14"/>
  <c r="K508" i="14"/>
  <c r="I700" i="14"/>
  <c r="L700" i="14"/>
  <c r="M700" i="14"/>
  <c r="K700" i="14"/>
  <c r="J700" i="14"/>
  <c r="L1008" i="14"/>
  <c r="M1008" i="14"/>
  <c r="K1018" i="14"/>
  <c r="I1018" i="14"/>
  <c r="J1018" i="14"/>
  <c r="L1018" i="14"/>
  <c r="M1018" i="14"/>
  <c r="J699" i="14"/>
  <c r="L699" i="14"/>
  <c r="M699" i="14"/>
  <c r="K699" i="14"/>
  <c r="M240" i="14"/>
  <c r="J240" i="14"/>
  <c r="I240" i="14"/>
  <c r="K240" i="14"/>
  <c r="L240" i="14"/>
  <c r="I577" i="14"/>
  <c r="K491" i="14"/>
  <c r="L535" i="14"/>
  <c r="J1004" i="14"/>
  <c r="M770" i="14"/>
  <c r="M408" i="14"/>
  <c r="M503" i="14"/>
  <c r="M260" i="14"/>
  <c r="J618" i="14"/>
  <c r="I885" i="14"/>
  <c r="J885" i="14"/>
  <c r="M885" i="14"/>
  <c r="K885" i="14"/>
  <c r="L885" i="14"/>
  <c r="M604" i="14"/>
  <c r="I604" i="14"/>
  <c r="J604" i="14"/>
  <c r="K604" i="14"/>
  <c r="L604" i="14"/>
  <c r="I394" i="14"/>
  <c r="J394" i="14"/>
  <c r="K394" i="14"/>
  <c r="K495" i="14"/>
  <c r="J495" i="14"/>
  <c r="M495" i="14"/>
  <c r="L495" i="14"/>
  <c r="M139" i="14"/>
  <c r="M363" i="14"/>
  <c r="J139" i="14"/>
  <c r="M360" i="14"/>
  <c r="K512" i="14"/>
  <c r="L408" i="14"/>
  <c r="I586" i="14"/>
  <c r="M317" i="14"/>
  <c r="I542" i="14"/>
  <c r="L945" i="14"/>
  <c r="L360" i="14"/>
  <c r="M1030" i="14"/>
  <c r="I1038" i="14"/>
  <c r="L799" i="14"/>
  <c r="M453" i="14"/>
  <c r="M573" i="14"/>
  <c r="I363" i="14"/>
  <c r="K865" i="14"/>
  <c r="J360" i="14"/>
  <c r="M986" i="14"/>
  <c r="M289" i="14"/>
  <c r="M945" i="14"/>
  <c r="K857" i="14"/>
  <c r="J768" i="14"/>
  <c r="M182" i="14"/>
  <c r="I979" i="14"/>
  <c r="J1015" i="14"/>
  <c r="L865" i="14"/>
  <c r="K101" i="14"/>
  <c r="L435" i="14"/>
  <c r="J313" i="14"/>
  <c r="L51" i="14"/>
  <c r="L946" i="14"/>
  <c r="J195" i="14"/>
  <c r="K1030" i="14"/>
  <c r="L501" i="14"/>
  <c r="I553" i="14"/>
  <c r="J417" i="14"/>
  <c r="I155" i="14"/>
  <c r="K936" i="14"/>
  <c r="K593" i="14"/>
  <c r="M668" i="14"/>
  <c r="J983" i="14"/>
  <c r="I453" i="14"/>
  <c r="L359" i="14"/>
  <c r="K744" i="14"/>
  <c r="J126" i="14"/>
  <c r="L527" i="14"/>
  <c r="K77" i="14"/>
  <c r="M704" i="14"/>
  <c r="M159" i="14"/>
  <c r="I259" i="14"/>
  <c r="M586" i="14"/>
  <c r="K284" i="14"/>
  <c r="I1008" i="14"/>
  <c r="J451" i="14"/>
  <c r="K203" i="14"/>
  <c r="J683" i="14"/>
  <c r="K282" i="14"/>
  <c r="L715" i="14"/>
  <c r="K301" i="14"/>
  <c r="L906" i="14"/>
  <c r="L158" i="14"/>
  <c r="K406" i="14"/>
  <c r="K378" i="14"/>
  <c r="L247" i="14"/>
  <c r="M776" i="14"/>
  <c r="K849" i="14"/>
  <c r="M364" i="14"/>
  <c r="K787" i="14"/>
  <c r="K764" i="14"/>
  <c r="I574" i="14"/>
  <c r="I516" i="14"/>
  <c r="L392" i="14"/>
  <c r="J270" i="14"/>
  <c r="M994" i="14"/>
  <c r="M820" i="14"/>
  <c r="I69" i="14"/>
  <c r="I452" i="14"/>
  <c r="L567" i="14"/>
  <c r="I793" i="14"/>
  <c r="K162" i="14"/>
  <c r="L592" i="14"/>
  <c r="I972" i="14"/>
  <c r="J972" i="14"/>
  <c r="L972" i="14"/>
  <c r="M972" i="14"/>
  <c r="K972" i="14"/>
  <c r="I772" i="14"/>
  <c r="L772" i="14"/>
  <c r="K772" i="14"/>
  <c r="M772" i="14"/>
  <c r="J772" i="14"/>
  <c r="I888" i="14"/>
  <c r="K888" i="14"/>
  <c r="J888" i="14"/>
  <c r="L888" i="14"/>
  <c r="M888" i="14"/>
  <c r="I924" i="14"/>
  <c r="L924" i="14"/>
  <c r="M924" i="14"/>
  <c r="J924" i="14"/>
  <c r="K924" i="14"/>
  <c r="K998" i="14"/>
  <c r="L998" i="14"/>
  <c r="M998" i="14"/>
  <c r="M307" i="14"/>
  <c r="L307" i="14"/>
  <c r="K307" i="14"/>
  <c r="I702" i="14"/>
  <c r="M702" i="14"/>
  <c r="K702" i="14"/>
  <c r="L995" i="14"/>
  <c r="I995" i="14"/>
  <c r="J995" i="14"/>
  <c r="M995" i="14"/>
  <c r="K995" i="14"/>
  <c r="I1031" i="14"/>
  <c r="K1031" i="14"/>
  <c r="M395" i="14"/>
  <c r="I395" i="14"/>
  <c r="J395" i="14"/>
  <c r="K395" i="14"/>
  <c r="L395" i="14"/>
  <c r="I684" i="14"/>
  <c r="K684" i="14"/>
  <c r="J606" i="14"/>
  <c r="K606" i="14"/>
  <c r="M511" i="14"/>
  <c r="I511" i="14"/>
  <c r="K511" i="14"/>
  <c r="J511" i="14"/>
  <c r="J187" i="14"/>
  <c r="K187" i="14"/>
  <c r="L187" i="14"/>
  <c r="M187" i="14"/>
  <c r="K46" i="14"/>
  <c r="I46" i="14"/>
  <c r="J46" i="14"/>
  <c r="M238" i="14"/>
  <c r="M334" i="14"/>
  <c r="I617" i="14"/>
  <c r="J617" i="14"/>
  <c r="L617" i="14"/>
  <c r="M617" i="14"/>
  <c r="K617" i="14"/>
  <c r="I48" i="14"/>
  <c r="L48" i="14"/>
  <c r="M48" i="14"/>
  <c r="K48" i="14"/>
  <c r="K590" i="14"/>
  <c r="L590" i="14"/>
  <c r="I86" i="14"/>
  <c r="J86" i="14"/>
  <c r="L829" i="14"/>
  <c r="I829" i="14"/>
  <c r="J829" i="14"/>
  <c r="M829" i="14"/>
  <c r="K829" i="14"/>
  <c r="K809" i="14"/>
  <c r="J809" i="14"/>
  <c r="I809" i="14"/>
  <c r="L809" i="14"/>
  <c r="M809" i="14"/>
  <c r="L88" i="14"/>
  <c r="M88" i="14"/>
  <c r="I88" i="14"/>
  <c r="J88" i="14"/>
  <c r="L992" i="14"/>
  <c r="K334" i="14"/>
  <c r="L901" i="14"/>
  <c r="M973" i="14"/>
  <c r="L707" i="14"/>
  <c r="K272" i="14"/>
  <c r="I551" i="14"/>
  <c r="J551" i="14"/>
  <c r="J980" i="14"/>
  <c r="L980" i="14"/>
  <c r="M533" i="14"/>
  <c r="K533" i="14"/>
  <c r="L533" i="14"/>
  <c r="I545" i="14"/>
  <c r="J545" i="14"/>
  <c r="L545" i="14"/>
  <c r="L600" i="14"/>
  <c r="M600" i="14"/>
  <c r="J651" i="14"/>
  <c r="L651" i="14"/>
  <c r="L223" i="14"/>
  <c r="I223" i="14"/>
  <c r="M223" i="14"/>
  <c r="J462" i="14"/>
  <c r="I462" i="14"/>
  <c r="L462" i="14"/>
  <c r="I480" i="14"/>
  <c r="J480" i="14"/>
  <c r="J577" i="14"/>
  <c r="K113" i="14"/>
  <c r="M206" i="14"/>
  <c r="K707" i="14"/>
  <c r="K86" i="14"/>
  <c r="I852" i="14"/>
  <c r="I789" i="14"/>
  <c r="J789" i="14"/>
  <c r="K789" i="14"/>
  <c r="L789" i="14"/>
  <c r="M789" i="14"/>
  <c r="M554" i="14"/>
  <c r="I554" i="14"/>
  <c r="J554" i="14"/>
  <c r="L709" i="14"/>
  <c r="I709" i="14"/>
  <c r="M709" i="14"/>
  <c r="I150" i="14"/>
  <c r="M150" i="14"/>
  <c r="K150" i="14"/>
  <c r="L150" i="14"/>
  <c r="I769" i="14"/>
  <c r="J769" i="14"/>
  <c r="M769" i="14"/>
  <c r="K769" i="14"/>
  <c r="L769" i="14"/>
  <c r="I622" i="14"/>
  <c r="J622" i="14"/>
  <c r="M622" i="14"/>
  <c r="I765" i="14"/>
  <c r="J765" i="14"/>
  <c r="J418" i="14"/>
  <c r="K418" i="14"/>
  <c r="K458" i="14"/>
  <c r="I458" i="14"/>
  <c r="L168" i="14"/>
  <c r="K168" i="14"/>
  <c r="M168" i="14"/>
  <c r="K117" i="14"/>
  <c r="I117" i="14"/>
  <c r="M117" i="14"/>
  <c r="J117" i="14"/>
  <c r="L117" i="14"/>
  <c r="J238" i="14"/>
  <c r="I905" i="14"/>
  <c r="J748" i="14"/>
  <c r="L206" i="14"/>
  <c r="I533" i="14"/>
  <c r="M937" i="14"/>
  <c r="J973" i="14"/>
  <c r="M852" i="14"/>
  <c r="K834" i="14"/>
  <c r="I834" i="14"/>
  <c r="M834" i="14"/>
  <c r="J834" i="14"/>
  <c r="L834" i="14"/>
  <c r="I742" i="14"/>
  <c r="K742" i="14"/>
  <c r="L742" i="14"/>
  <c r="J742" i="14"/>
  <c r="M742" i="14"/>
  <c r="I943" i="14"/>
  <c r="M943" i="14"/>
  <c r="J943" i="14"/>
  <c r="K943" i="14"/>
  <c r="L943" i="14"/>
  <c r="I981" i="14"/>
  <c r="J981" i="14"/>
  <c r="K981" i="14"/>
  <c r="L743" i="14"/>
  <c r="I743" i="14"/>
  <c r="J743" i="14"/>
  <c r="K152" i="14"/>
  <c r="L152" i="14"/>
  <c r="M152" i="14"/>
  <c r="I992" i="14"/>
  <c r="K988" i="14"/>
  <c r="M177" i="14"/>
  <c r="K206" i="14"/>
  <c r="J533" i="14"/>
  <c r="L503" i="14"/>
  <c r="L564" i="14"/>
  <c r="J723" i="14"/>
  <c r="L272" i="14"/>
  <c r="K457" i="14"/>
  <c r="L867" i="14"/>
  <c r="M640" i="14"/>
  <c r="L852" i="14"/>
  <c r="I413" i="14"/>
  <c r="K413" i="14"/>
  <c r="L413" i="14"/>
  <c r="J413" i="14"/>
  <c r="M413" i="14"/>
  <c r="M719" i="14"/>
  <c r="K719" i="14"/>
  <c r="I719" i="14"/>
  <c r="J719" i="14"/>
  <c r="L719" i="14"/>
  <c r="K736" i="14"/>
  <c r="L736" i="14"/>
  <c r="I736" i="14"/>
  <c r="J736" i="14"/>
  <c r="M736" i="14"/>
  <c r="K576" i="14"/>
  <c r="I576" i="14"/>
  <c r="J576" i="14"/>
  <c r="M576" i="14"/>
  <c r="M802" i="14"/>
  <c r="J802" i="14"/>
  <c r="M840" i="14"/>
  <c r="I840" i="14"/>
  <c r="L840" i="14"/>
  <c r="J840" i="14"/>
  <c r="K840" i="14"/>
  <c r="J969" i="14"/>
  <c r="L969" i="14"/>
  <c r="I969" i="14"/>
  <c r="K969" i="14"/>
  <c r="I721" i="14"/>
  <c r="K721" i="14"/>
  <c r="M721" i="14"/>
  <c r="J721" i="14"/>
  <c r="L721" i="14"/>
  <c r="K100" i="14"/>
  <c r="I100" i="14"/>
  <c r="J100" i="14"/>
  <c r="J148" i="14"/>
  <c r="I148" i="14"/>
  <c r="L148" i="14"/>
  <c r="J370" i="14"/>
  <c r="I370" i="14"/>
  <c r="L370" i="14"/>
  <c r="I140" i="14"/>
  <c r="J140" i="14"/>
  <c r="K709" i="14"/>
  <c r="L997" i="14"/>
  <c r="J988" i="14"/>
  <c r="L551" i="14"/>
  <c r="L483" i="14"/>
  <c r="L511" i="14"/>
  <c r="L325" i="14"/>
  <c r="L480" i="14"/>
  <c r="K503" i="14"/>
  <c r="J564" i="14"/>
  <c r="I707" i="14"/>
  <c r="M723" i="14"/>
  <c r="L831" i="14"/>
  <c r="L640" i="14"/>
  <c r="I642" i="14"/>
  <c r="J642" i="14"/>
  <c r="K642" i="14"/>
  <c r="M642" i="14"/>
  <c r="L642" i="14"/>
  <c r="I811" i="14"/>
  <c r="J811" i="14"/>
  <c r="M811" i="14"/>
  <c r="K811" i="14"/>
  <c r="L811" i="14"/>
  <c r="K322" i="14"/>
  <c r="I322" i="14"/>
  <c r="J322" i="14"/>
  <c r="I204" i="14"/>
  <c r="K204" i="14"/>
  <c r="J204" i="14"/>
  <c r="L204" i="14"/>
  <c r="M204" i="14"/>
  <c r="J348" i="14"/>
  <c r="K348" i="14"/>
  <c r="I681" i="14"/>
  <c r="M681" i="14"/>
  <c r="J681" i="14"/>
  <c r="M463" i="14"/>
  <c r="L463" i="14"/>
  <c r="K463" i="14"/>
  <c r="I463" i="14"/>
  <c r="J463" i="14"/>
  <c r="K268" i="14"/>
  <c r="J268" i="14"/>
  <c r="I268" i="14"/>
  <c r="L571" i="14"/>
  <c r="J571" i="14"/>
  <c r="I571" i="14"/>
  <c r="K487" i="14"/>
  <c r="I487" i="14"/>
  <c r="J487" i="14"/>
  <c r="L428" i="14"/>
  <c r="I428" i="14"/>
  <c r="L340" i="14"/>
  <c r="J340" i="14"/>
  <c r="M340" i="14"/>
  <c r="I340" i="14"/>
  <c r="K340" i="14"/>
  <c r="J709" i="14"/>
  <c r="J286" i="14"/>
  <c r="K997" i="14"/>
  <c r="L988" i="14"/>
  <c r="L625" i="14"/>
  <c r="L891" i="14"/>
  <c r="K554" i="14"/>
  <c r="L803" i="14"/>
  <c r="M142" i="14"/>
  <c r="M657" i="14"/>
  <c r="J503" i="14"/>
  <c r="J39" i="14"/>
  <c r="L723" i="14"/>
  <c r="J831" i="14"/>
  <c r="L874" i="14"/>
  <c r="K139" i="14"/>
  <c r="K625" i="14"/>
  <c r="K535" i="14"/>
  <c r="L1000" i="14"/>
  <c r="M483" i="14"/>
  <c r="K799" i="14"/>
  <c r="I121" i="14"/>
  <c r="I1004" i="14"/>
  <c r="J177" i="14"/>
  <c r="L657" i="14"/>
  <c r="K955" i="14"/>
  <c r="J281" i="14"/>
  <c r="I523" i="14"/>
  <c r="I531" i="14"/>
  <c r="I723" i="14"/>
  <c r="J684" i="14"/>
  <c r="K770" i="14"/>
  <c r="K874" i="14"/>
  <c r="K161" i="14"/>
  <c r="I640" i="14"/>
  <c r="M319" i="14"/>
  <c r="I396" i="14"/>
  <c r="J396" i="14"/>
  <c r="K396" i="14"/>
  <c r="L396" i="14"/>
  <c r="M396" i="14"/>
  <c r="I856" i="14"/>
  <c r="J856" i="14"/>
  <c r="K856" i="14"/>
  <c r="L856" i="14"/>
  <c r="M856" i="14"/>
  <c r="M588" i="14"/>
  <c r="I588" i="14"/>
  <c r="J588" i="14"/>
  <c r="K588" i="14"/>
  <c r="I841" i="14"/>
  <c r="J841" i="14"/>
  <c r="L841" i="14"/>
  <c r="M841" i="14"/>
  <c r="K841" i="14"/>
  <c r="J818" i="14"/>
  <c r="K818" i="14"/>
  <c r="I818" i="14"/>
  <c r="M818" i="14"/>
  <c r="I958" i="14"/>
  <c r="J958" i="14"/>
  <c r="K958" i="14"/>
  <c r="K778" i="14"/>
  <c r="L778" i="14"/>
  <c r="I778" i="14"/>
  <c r="M778" i="14"/>
  <c r="J778" i="14"/>
  <c r="J630" i="14"/>
  <c r="L630" i="14"/>
  <c r="I630" i="14"/>
  <c r="K630" i="14"/>
  <c r="M630" i="14"/>
  <c r="I655" i="14"/>
  <c r="J655" i="14"/>
  <c r="K655" i="14"/>
  <c r="M655" i="14"/>
  <c r="L655" i="14"/>
  <c r="J347" i="14"/>
  <c r="K347" i="14"/>
  <c r="L347" i="14"/>
  <c r="M347" i="14"/>
  <c r="K350" i="14"/>
  <c r="I350" i="14"/>
  <c r="J350" i="14"/>
  <c r="L350" i="14"/>
  <c r="M350" i="14"/>
  <c r="M176" i="14"/>
  <c r="L176" i="14"/>
  <c r="J363" i="14"/>
  <c r="M625" i="14"/>
  <c r="M799" i="14"/>
  <c r="L512" i="14"/>
  <c r="I408" i="14"/>
  <c r="I177" i="14"/>
  <c r="J341" i="14"/>
  <c r="I436" i="14"/>
  <c r="I803" i="14"/>
  <c r="K260" i="14"/>
  <c r="L542" i="14"/>
  <c r="I573" i="14"/>
  <c r="J640" i="14"/>
  <c r="M747" i="14"/>
  <c r="J732" i="14"/>
  <c r="M708" i="14"/>
  <c r="J946" i="14"/>
  <c r="J1038" i="14"/>
  <c r="J492" i="14"/>
  <c r="I983" i="14"/>
  <c r="L487" i="14"/>
  <c r="J915" i="14"/>
  <c r="I260" i="14"/>
  <c r="I525" i="14"/>
  <c r="L69" i="14"/>
  <c r="L452" i="14"/>
  <c r="L458" i="14"/>
  <c r="M732" i="14"/>
  <c r="K979" i="14"/>
  <c r="I708" i="14"/>
  <c r="K559" i="14"/>
  <c r="M553" i="14"/>
  <c r="M100" i="14"/>
  <c r="I492" i="14"/>
  <c r="I159" i="14"/>
  <c r="M487" i="14"/>
  <c r="M955" i="14"/>
  <c r="I474" i="14"/>
  <c r="K297" i="14"/>
  <c r="L470" i="14"/>
  <c r="J601" i="14"/>
  <c r="J849" i="14"/>
  <c r="M525" i="14"/>
  <c r="I163" i="14"/>
  <c r="K747" i="14"/>
  <c r="L732" i="14"/>
  <c r="L768" i="14"/>
  <c r="J979" i="14"/>
  <c r="L1015" i="14"/>
  <c r="M101" i="14"/>
  <c r="K313" i="14"/>
  <c r="K946" i="14"/>
  <c r="J152" i="14"/>
  <c r="L1030" i="14"/>
  <c r="I501" i="14"/>
  <c r="M512" i="14"/>
  <c r="L453" i="14"/>
  <c r="M126" i="14"/>
  <c r="J527" i="14"/>
  <c r="K159" i="14"/>
  <c r="J419" i="14"/>
  <c r="M203" i="14"/>
  <c r="L683" i="14"/>
  <c r="K715" i="14"/>
  <c r="J301" i="14"/>
  <c r="K906" i="14"/>
  <c r="K470" i="14"/>
  <c r="M601" i="14"/>
  <c r="J702" i="14"/>
  <c r="M526" i="14"/>
  <c r="J163" i="14"/>
  <c r="M516" i="14"/>
  <c r="M162" i="14"/>
  <c r="J747" i="14"/>
  <c r="J945" i="14"/>
  <c r="I768" i="14"/>
  <c r="I865" i="14"/>
  <c r="L101" i="14"/>
  <c r="K370" i="14"/>
  <c r="L313" i="14"/>
  <c r="M51" i="14"/>
  <c r="M571" i="14"/>
  <c r="L195" i="14"/>
  <c r="K553" i="14"/>
  <c r="M606" i="14"/>
  <c r="J1031" i="14"/>
  <c r="I668" i="14"/>
  <c r="K983" i="14"/>
  <c r="I998" i="14"/>
  <c r="J159" i="14"/>
  <c r="J586" i="14"/>
  <c r="L203" i="14"/>
  <c r="K683" i="14"/>
  <c r="M715" i="14"/>
  <c r="I406" i="14"/>
  <c r="J470" i="14"/>
  <c r="K601" i="14"/>
  <c r="I364" i="14"/>
  <c r="M787" i="14"/>
  <c r="M764" i="14"/>
  <c r="K163" i="14"/>
  <c r="L516" i="14"/>
  <c r="K392" i="14"/>
  <c r="M428" i="14"/>
  <c r="J69" i="14"/>
  <c r="M452" i="14"/>
  <c r="L162" i="14"/>
  <c r="I752" i="14"/>
  <c r="L752" i="14"/>
  <c r="J752" i="14"/>
  <c r="K752" i="14"/>
  <c r="M752" i="14"/>
  <c r="M496" i="14"/>
  <c r="I496" i="14"/>
  <c r="J496" i="14"/>
  <c r="L496" i="14"/>
  <c r="K496" i="14"/>
  <c r="L903" i="14"/>
  <c r="J903" i="14"/>
  <c r="M903" i="14"/>
  <c r="I581" i="14"/>
  <c r="J581" i="14"/>
  <c r="K581" i="14"/>
  <c r="M581" i="14"/>
  <c r="L581" i="14"/>
  <c r="K546" i="14"/>
  <c r="L546" i="14"/>
  <c r="J546" i="14"/>
  <c r="I546" i="14"/>
  <c r="M546" i="14"/>
  <c r="I966" i="14"/>
  <c r="J966" i="14"/>
  <c r="K966" i="14"/>
  <c r="M966" i="14"/>
  <c r="L966" i="14"/>
  <c r="J621" i="14"/>
  <c r="I621" i="14"/>
  <c r="I676" i="14"/>
  <c r="J676" i="14"/>
  <c r="L676" i="14"/>
  <c r="K676" i="14"/>
  <c r="M676" i="14"/>
  <c r="I797" i="14"/>
  <c r="J797" i="14"/>
  <c r="M797" i="14"/>
  <c r="K118" i="14"/>
  <c r="M118" i="14"/>
  <c r="M607" i="14"/>
  <c r="I607" i="14"/>
  <c r="J607" i="14"/>
  <c r="K884" i="14"/>
  <c r="I884" i="14"/>
  <c r="J884" i="14"/>
  <c r="M351" i="14"/>
  <c r="I351" i="14"/>
  <c r="I971" i="14"/>
  <c r="J971" i="14"/>
  <c r="L971" i="14"/>
  <c r="M971" i="14"/>
  <c r="K971" i="14"/>
  <c r="L629" i="14"/>
  <c r="M629" i="14"/>
  <c r="I629" i="14"/>
  <c r="J629" i="14"/>
  <c r="K629" i="14"/>
  <c r="K609" i="14"/>
  <c r="J609" i="14"/>
  <c r="I635" i="14"/>
  <c r="K635" i="14"/>
  <c r="J635" i="14"/>
  <c r="L635" i="14"/>
  <c r="M635" i="14"/>
  <c r="K372" i="14"/>
  <c r="L372" i="14"/>
  <c r="M372" i="14"/>
  <c r="I372" i="14"/>
  <c r="K257" i="14"/>
  <c r="L257" i="14"/>
  <c r="J257" i="14"/>
  <c r="K196" i="14"/>
  <c r="M196" i="14"/>
  <c r="L196" i="14"/>
  <c r="L466" i="14"/>
  <c r="M466" i="14"/>
  <c r="I466" i="14"/>
  <c r="J466" i="14"/>
  <c r="K466" i="14"/>
  <c r="J369" i="14"/>
  <c r="M369" i="14"/>
  <c r="J357" i="14"/>
  <c r="K357" i="14"/>
  <c r="I357" i="14"/>
  <c r="L357" i="14"/>
  <c r="L446" i="14"/>
  <c r="I446" i="14"/>
  <c r="M446" i="14"/>
  <c r="K446" i="14"/>
  <c r="J446" i="14"/>
  <c r="M131" i="14"/>
  <c r="J131" i="14"/>
  <c r="I131" i="14"/>
  <c r="J409" i="14"/>
  <c r="K409" i="14"/>
  <c r="M409" i="14"/>
  <c r="I409" i="14"/>
  <c r="I111" i="14"/>
  <c r="L111" i="14"/>
  <c r="M111" i="14"/>
  <c r="K66" i="14"/>
  <c r="L66" i="14"/>
  <c r="J244" i="14"/>
  <c r="I244" i="14"/>
  <c r="M244" i="14"/>
  <c r="J55" i="14"/>
  <c r="L55" i="14"/>
  <c r="M55" i="14"/>
  <c r="L289" i="14"/>
  <c r="K945" i="14"/>
  <c r="M768" i="14"/>
  <c r="L306" i="14"/>
  <c r="I746" i="14"/>
  <c r="L621" i="14"/>
  <c r="K1015" i="14"/>
  <c r="J788" i="14"/>
  <c r="J101" i="14"/>
  <c r="K435" i="14"/>
  <c r="I313" i="14"/>
  <c r="K51" i="14"/>
  <c r="I195" i="14"/>
  <c r="L981" i="14"/>
  <c r="J1030" i="14"/>
  <c r="K501" i="14"/>
  <c r="I417" i="14"/>
  <c r="M155" i="14"/>
  <c r="J936" i="14"/>
  <c r="I606" i="14"/>
  <c r="I593" i="14"/>
  <c r="L1031" i="14"/>
  <c r="K668" i="14"/>
  <c r="J539" i="14"/>
  <c r="L323" i="14"/>
  <c r="I624" i="14"/>
  <c r="L805" i="14"/>
  <c r="I359" i="14"/>
  <c r="I126" i="14"/>
  <c r="K951" i="14"/>
  <c r="M77" i="14"/>
  <c r="J704" i="14"/>
  <c r="K462" i="14"/>
  <c r="M259" i="14"/>
  <c r="M543" i="14"/>
  <c r="I451" i="14"/>
  <c r="J203" i="14"/>
  <c r="I683" i="14"/>
  <c r="J282" i="14"/>
  <c r="J715" i="14"/>
  <c r="K939" i="14"/>
  <c r="K158" i="14"/>
  <c r="M406" i="14"/>
  <c r="I378" i="14"/>
  <c r="J776" i="14"/>
  <c r="I849" i="14"/>
  <c r="K364" i="14"/>
  <c r="J787" i="14"/>
  <c r="J764" i="14"/>
  <c r="L237" i="14"/>
  <c r="M574" i="14"/>
  <c r="M510" i="14"/>
  <c r="J392" i="14"/>
  <c r="I270" i="14"/>
  <c r="L673" i="14"/>
  <c r="J994" i="14"/>
  <c r="J428" i="14"/>
  <c r="J820" i="14"/>
  <c r="J567" i="14"/>
  <c r="J162" i="14"/>
  <c r="K592" i="14"/>
  <c r="I317" i="14"/>
  <c r="K317" i="14"/>
  <c r="L317" i="14"/>
  <c r="L86" i="14"/>
  <c r="I590" i="14"/>
  <c r="I890" i="14"/>
  <c r="M890" i="14"/>
  <c r="J890" i="14"/>
  <c r="L890" i="14"/>
  <c r="K890" i="14"/>
  <c r="J741" i="14"/>
  <c r="L741" i="14"/>
  <c r="I741" i="14"/>
  <c r="M649" i="14"/>
  <c r="I649" i="14"/>
  <c r="L649" i="14"/>
  <c r="K649" i="14"/>
  <c r="J649" i="14"/>
  <c r="K552" i="14"/>
  <c r="L552" i="14"/>
  <c r="M552" i="14"/>
  <c r="I552" i="14"/>
  <c r="M96" i="14"/>
  <c r="I96" i="14"/>
  <c r="J96" i="14"/>
  <c r="L96" i="14"/>
  <c r="K96" i="14"/>
  <c r="M992" i="14"/>
  <c r="I564" i="14"/>
  <c r="J590" i="14"/>
  <c r="K967" i="14"/>
  <c r="M967" i="14"/>
  <c r="L967" i="14"/>
  <c r="I967" i="14"/>
  <c r="J967" i="14"/>
  <c r="I745" i="14"/>
  <c r="L745" i="14"/>
  <c r="K745" i="14"/>
  <c r="J745" i="14"/>
  <c r="M745" i="14"/>
  <c r="I851" i="14"/>
  <c r="J851" i="14"/>
  <c r="J720" i="14"/>
  <c r="K720" i="14"/>
  <c r="I881" i="14"/>
  <c r="L881" i="14"/>
  <c r="L883" i="14"/>
  <c r="K883" i="14"/>
  <c r="M883" i="14"/>
  <c r="I883" i="14"/>
  <c r="J883" i="14"/>
  <c r="K613" i="14"/>
  <c r="M613" i="14"/>
  <c r="L613" i="14"/>
  <c r="J613" i="14"/>
  <c r="I613" i="14"/>
  <c r="K923" i="14"/>
  <c r="J923" i="14"/>
  <c r="M923" i="14"/>
  <c r="I923" i="14"/>
  <c r="L923" i="14"/>
  <c r="M1022" i="14"/>
  <c r="I1022" i="14"/>
  <c r="K1022" i="14"/>
  <c r="J1022" i="14"/>
  <c r="L1022" i="14"/>
  <c r="K527" i="14"/>
  <c r="M527" i="14"/>
  <c r="I143" i="14"/>
  <c r="J143" i="14"/>
  <c r="I173" i="14"/>
  <c r="J173" i="14"/>
  <c r="M173" i="14"/>
  <c r="L173" i="14"/>
  <c r="K992" i="14"/>
  <c r="I62" i="14"/>
  <c r="K551" i="14"/>
  <c r="L531" i="14"/>
  <c r="J706" i="14"/>
  <c r="K706" i="14"/>
  <c r="M706" i="14"/>
  <c r="I706" i="14"/>
  <c r="L706" i="14"/>
  <c r="J777" i="14"/>
  <c r="I777" i="14"/>
  <c r="K777" i="14"/>
  <c r="L777" i="14"/>
  <c r="M777" i="14"/>
  <c r="I944" i="14"/>
  <c r="J944" i="14"/>
  <c r="I729" i="14"/>
  <c r="J729" i="14"/>
  <c r="L729" i="14"/>
  <c r="M729" i="14"/>
  <c r="K729" i="14"/>
  <c r="L509" i="14"/>
  <c r="J509" i="14"/>
  <c r="I509" i="14"/>
  <c r="J190" i="14"/>
  <c r="L190" i="14"/>
  <c r="M190" i="14"/>
  <c r="K190" i="14"/>
  <c r="I45" i="14"/>
  <c r="L45" i="14"/>
  <c r="M45" i="14"/>
  <c r="J479" i="14"/>
  <c r="K479" i="14"/>
  <c r="I479" i="14"/>
  <c r="L479" i="14"/>
  <c r="M479" i="14"/>
  <c r="J432" i="14"/>
  <c r="K432" i="14"/>
  <c r="L432" i="14"/>
  <c r="I432" i="14"/>
  <c r="M765" i="14"/>
  <c r="J535" i="14"/>
  <c r="M480" i="14"/>
  <c r="I142" i="14"/>
  <c r="K531" i="14"/>
  <c r="K532" i="14"/>
  <c r="I532" i="14"/>
  <c r="M532" i="14"/>
  <c r="J532" i="14"/>
  <c r="L532" i="14"/>
  <c r="L904" i="14"/>
  <c r="M904" i="14"/>
  <c r="J904" i="14"/>
  <c r="K904" i="14"/>
  <c r="I857" i="14"/>
  <c r="M857" i="14"/>
  <c r="K725" i="14"/>
  <c r="M725" i="14"/>
  <c r="J725" i="14"/>
  <c r="J376" i="14"/>
  <c r="L376" i="14"/>
  <c r="K530" i="14"/>
  <c r="I530" i="14"/>
  <c r="M530" i="14"/>
  <c r="M489" i="14"/>
  <c r="J489" i="14"/>
  <c r="L489" i="14"/>
  <c r="K489" i="14"/>
  <c r="J294" i="14"/>
  <c r="K294" i="14"/>
  <c r="I294" i="14"/>
  <c r="J491" i="14"/>
  <c r="K765" i="14"/>
  <c r="I187" i="14"/>
  <c r="K1004" i="14"/>
  <c r="L177" i="14"/>
  <c r="L554" i="14"/>
  <c r="M803" i="14"/>
  <c r="M684" i="14"/>
  <c r="M545" i="14"/>
  <c r="J169" i="14"/>
  <c r="M457" i="14"/>
  <c r="M902" i="14"/>
  <c r="I902" i="14"/>
  <c r="L902" i="14"/>
  <c r="J902" i="14"/>
  <c r="K902" i="14"/>
  <c r="K504" i="14"/>
  <c r="I504" i="14"/>
  <c r="M504" i="14"/>
  <c r="J504" i="14"/>
  <c r="L504" i="14"/>
  <c r="K39" i="14"/>
  <c r="L39" i="14"/>
  <c r="K499" i="14"/>
  <c r="I499" i="14"/>
  <c r="M499" i="14"/>
  <c r="L50" i="14"/>
  <c r="M50" i="14"/>
  <c r="M346" i="14"/>
  <c r="J346" i="14"/>
  <c r="M84" i="14"/>
  <c r="K84" i="14"/>
  <c r="L84" i="14"/>
  <c r="K680" i="14"/>
  <c r="L765" i="14"/>
  <c r="I60" i="14"/>
  <c r="J483" i="14"/>
  <c r="J121" i="14"/>
  <c r="K436" i="14"/>
  <c r="K480" i="14"/>
  <c r="I699" i="14"/>
  <c r="L684" i="14"/>
  <c r="K545" i="14"/>
  <c r="L457" i="14"/>
  <c r="L140" i="14"/>
  <c r="L618" i="14"/>
  <c r="K346" i="14"/>
  <c r="L909" i="14"/>
  <c r="I680" i="14"/>
  <c r="I988" i="14"/>
  <c r="J559" i="14"/>
  <c r="J60" i="14"/>
  <c r="M376" i="14"/>
  <c r="K341" i="14"/>
  <c r="J436" i="14"/>
  <c r="I646" i="14"/>
  <c r="K646" i="14"/>
  <c r="L646" i="14"/>
  <c r="M646" i="14"/>
  <c r="J646" i="14"/>
  <c r="I877" i="14"/>
  <c r="J877" i="14"/>
  <c r="L877" i="14"/>
  <c r="I235" i="14"/>
  <c r="J235" i="14"/>
  <c r="M235" i="14"/>
  <c r="K235" i="14"/>
  <c r="K579" i="14"/>
  <c r="M579" i="14"/>
  <c r="L579" i="14"/>
  <c r="I780" i="14"/>
  <c r="J780" i="14"/>
  <c r="K780" i="14"/>
  <c r="L780" i="14"/>
  <c r="M780" i="14"/>
  <c r="I974" i="14"/>
  <c r="L974" i="14"/>
  <c r="M974" i="14"/>
  <c r="J974" i="14"/>
  <c r="K974" i="14"/>
  <c r="K449" i="14"/>
  <c r="I449" i="14"/>
  <c r="L449" i="14"/>
  <c r="K526" i="14"/>
  <c r="I526" i="14"/>
  <c r="J526" i="14"/>
  <c r="M247" i="14"/>
  <c r="J247" i="14"/>
  <c r="K247" i="14"/>
  <c r="M221" i="14"/>
  <c r="I221" i="14"/>
  <c r="J221" i="14"/>
  <c r="K909" i="14"/>
  <c r="L353" i="14"/>
  <c r="I168" i="14"/>
  <c r="I559" i="14"/>
  <c r="M741" i="14"/>
  <c r="K1038" i="14"/>
  <c r="L822" i="14"/>
  <c r="M291" i="14"/>
  <c r="K657" i="14"/>
  <c r="J50" i="14"/>
  <c r="J955" i="14"/>
  <c r="M39" i="14"/>
  <c r="M281" i="14"/>
  <c r="K136" i="14"/>
  <c r="M523" i="14"/>
  <c r="M140" i="14"/>
  <c r="M161" i="14"/>
  <c r="L979" i="14"/>
  <c r="J553" i="14"/>
  <c r="K453" i="14"/>
  <c r="M474" i="14"/>
  <c r="L523" i="14"/>
  <c r="I906" i="14"/>
  <c r="J573" i="14"/>
  <c r="I418" i="14"/>
  <c r="K516" i="14"/>
  <c r="J161" i="14"/>
  <c r="M865" i="14"/>
  <c r="I946" i="14"/>
  <c r="M195" i="14"/>
  <c r="M501" i="14"/>
  <c r="L983" i="14"/>
  <c r="K126" i="14"/>
  <c r="K45" i="14"/>
  <c r="L586" i="14"/>
  <c r="L944" i="14"/>
  <c r="I915" i="14"/>
  <c r="M906" i="14"/>
  <c r="L702" i="14"/>
  <c r="I176" i="14"/>
  <c r="M69" i="14"/>
  <c r="K452" i="14"/>
  <c r="J458" i="14"/>
  <c r="L708" i="14"/>
  <c r="K571" i="14"/>
  <c r="L100" i="14"/>
  <c r="K155" i="14"/>
  <c r="M593" i="14"/>
  <c r="J668" i="14"/>
  <c r="L704" i="14"/>
  <c r="K1008" i="14"/>
  <c r="M944" i="14"/>
  <c r="M915" i="14"/>
  <c r="L474" i="14"/>
  <c r="J297" i="14"/>
  <c r="M382" i="14"/>
  <c r="M849" i="14"/>
  <c r="L364" i="14"/>
  <c r="L525" i="14"/>
  <c r="M458" i="14"/>
  <c r="I732" i="14"/>
  <c r="M1015" i="14"/>
  <c r="I152" i="14"/>
  <c r="M268" i="14"/>
  <c r="J155" i="14"/>
  <c r="L593" i="14"/>
  <c r="K704" i="14"/>
  <c r="I419" i="14"/>
  <c r="J1008" i="14"/>
  <c r="K944" i="14"/>
  <c r="K474" i="14"/>
  <c r="I297" i="14"/>
  <c r="J382" i="14"/>
  <c r="I301" i="14"/>
  <c r="L712" i="14"/>
  <c r="I712" i="14"/>
  <c r="J712" i="14"/>
  <c r="K712" i="14"/>
  <c r="M712" i="14"/>
  <c r="I315" i="14"/>
  <c r="M315" i="14"/>
  <c r="J315" i="14"/>
  <c r="L315" i="14"/>
  <c r="K315" i="14"/>
  <c r="L1012" i="14"/>
  <c r="M1012" i="14"/>
  <c r="I1012" i="14"/>
  <c r="J1012" i="14"/>
  <c r="K1012" i="14"/>
  <c r="I198" i="14"/>
  <c r="L198" i="14"/>
  <c r="M198" i="14"/>
  <c r="J198" i="14"/>
  <c r="K198" i="14"/>
  <c r="K858" i="14"/>
  <c r="J858" i="14"/>
  <c r="L858" i="14"/>
  <c r="M858" i="14"/>
  <c r="I858" i="14"/>
  <c r="J1003" i="14"/>
  <c r="L1003" i="14"/>
  <c r="K638" i="14"/>
  <c r="L638" i="14"/>
  <c r="L399" i="14"/>
  <c r="J399" i="14"/>
  <c r="K399" i="14"/>
  <c r="M399" i="14"/>
  <c r="I399" i="14"/>
  <c r="I859" i="14"/>
  <c r="L859" i="14"/>
  <c r="M859" i="14"/>
  <c r="K274" i="14"/>
  <c r="I274" i="14"/>
  <c r="J274" i="14"/>
  <c r="M274" i="14"/>
  <c r="L274" i="14"/>
  <c r="I767" i="14"/>
  <c r="J767" i="14"/>
  <c r="K767" i="14"/>
  <c r="M767" i="14"/>
  <c r="L767" i="14"/>
  <c r="J925" i="14"/>
  <c r="K925" i="14"/>
  <c r="J960" i="14"/>
  <c r="K960" i="14"/>
  <c r="K587" i="14"/>
  <c r="L587" i="14"/>
  <c r="M587" i="14"/>
  <c r="I587" i="14"/>
  <c r="I560" i="14"/>
  <c r="J560" i="14"/>
  <c r="L616" i="14"/>
  <c r="M616" i="14"/>
  <c r="M211" i="14"/>
  <c r="J211" i="14"/>
  <c r="I211" i="14"/>
  <c r="M790" i="14"/>
  <c r="J790" i="14"/>
  <c r="I790" i="14"/>
  <c r="K790" i="14"/>
  <c r="L790" i="14"/>
  <c r="M201" i="14"/>
  <c r="K201" i="14"/>
  <c r="L201" i="14"/>
  <c r="L178" i="14"/>
  <c r="M178" i="14"/>
  <c r="J178" i="14"/>
  <c r="K178" i="14"/>
  <c r="M352" i="14"/>
  <c r="I352" i="14"/>
  <c r="J352" i="14"/>
  <c r="L352" i="14"/>
  <c r="K352" i="14"/>
  <c r="I387" i="14"/>
  <c r="L387" i="14"/>
  <c r="M108" i="14"/>
  <c r="K108" i="14"/>
  <c r="L108" i="14"/>
  <c r="I43" i="14"/>
  <c r="K43" i="14"/>
  <c r="J228" i="14"/>
  <c r="K228" i="14"/>
  <c r="I53" i="14"/>
  <c r="K53" i="14"/>
  <c r="L53" i="14"/>
  <c r="M53" i="14"/>
  <c r="K41" i="14"/>
  <c r="L41" i="14"/>
  <c r="M41" i="14"/>
  <c r="I489" i="14"/>
  <c r="J857" i="14"/>
  <c r="J306" i="14"/>
  <c r="L746" i="14"/>
  <c r="K621" i="14"/>
  <c r="J493" i="14"/>
  <c r="M981" i="14"/>
  <c r="I368" i="14"/>
  <c r="I495" i="14"/>
  <c r="L539" i="14"/>
  <c r="K805" i="14"/>
  <c r="M359" i="14"/>
  <c r="K391" i="14"/>
  <c r="L720" i="14"/>
  <c r="M462" i="14"/>
  <c r="I968" i="14"/>
  <c r="L838" i="14"/>
  <c r="K743" i="14"/>
  <c r="K980" i="14"/>
  <c r="I347" i="14"/>
  <c r="M939" i="14"/>
  <c r="L406" i="14"/>
  <c r="J378" i="14"/>
  <c r="J307" i="14"/>
  <c r="K318" i="14"/>
  <c r="K237" i="14"/>
  <c r="L574" i="14"/>
  <c r="K509" i="14"/>
  <c r="J510" i="14"/>
  <c r="K673" i="14"/>
  <c r="L211" i="14"/>
  <c r="K567" i="14"/>
  <c r="C3" i="20"/>
  <c r="L214" i="14"/>
  <c r="K485" i="14"/>
  <c r="I919" i="14"/>
  <c r="J919" i="14"/>
  <c r="L919" i="14"/>
  <c r="M919" i="14"/>
  <c r="K919" i="14"/>
  <c r="K880" i="14"/>
  <c r="M880" i="14"/>
  <c r="J880" i="14"/>
  <c r="I880" i="14"/>
  <c r="L880" i="14"/>
  <c r="I727" i="14"/>
  <c r="J727" i="14"/>
  <c r="K727" i="14"/>
  <c r="M727" i="14"/>
  <c r="L727" i="14"/>
  <c r="J248" i="14"/>
  <c r="M248" i="14"/>
  <c r="K248" i="14"/>
  <c r="L248" i="14"/>
  <c r="I248" i="14"/>
  <c r="K620" i="14"/>
  <c r="L620" i="14"/>
  <c r="J620" i="14"/>
  <c r="M620" i="14"/>
  <c r="I620" i="14"/>
  <c r="I982" i="14"/>
  <c r="M982" i="14"/>
  <c r="K982" i="14"/>
  <c r="L982" i="14"/>
  <c r="J982" i="14"/>
  <c r="K627" i="14"/>
  <c r="I627" i="14"/>
  <c r="L627" i="14"/>
  <c r="M627" i="14"/>
  <c r="J627" i="14"/>
  <c r="J659" i="14"/>
  <c r="K659" i="14"/>
  <c r="I659" i="14"/>
  <c r="L659" i="14"/>
  <c r="M659" i="14"/>
  <c r="I996" i="14"/>
  <c r="K996" i="14"/>
  <c r="M996" i="14"/>
  <c r="J996" i="14"/>
  <c r="L996" i="14"/>
  <c r="I930" i="14"/>
  <c r="K722" i="14"/>
  <c r="I918" i="14"/>
  <c r="M438" i="14"/>
  <c r="M698" i="14"/>
  <c r="J377" i="14"/>
  <c r="I722" i="14"/>
  <c r="J686" i="14"/>
  <c r="M393" i="14"/>
  <c r="K521" i="14"/>
  <c r="M411" i="14"/>
  <c r="K687" i="14"/>
  <c r="K908" i="14"/>
  <c r="M181" i="14"/>
  <c r="M478" i="14"/>
  <c r="M690" i="14"/>
  <c r="M652" i="14"/>
  <c r="J58" i="14"/>
  <c r="M611" i="14"/>
  <c r="L824" i="14"/>
  <c r="K115" i="14"/>
  <c r="K544" i="14"/>
  <c r="J763" i="14"/>
  <c r="I763" i="14"/>
  <c r="K763" i="14"/>
  <c r="M763" i="14"/>
  <c r="L763" i="14"/>
  <c r="K751" i="14"/>
  <c r="J751" i="14"/>
  <c r="L751" i="14"/>
  <c r="M751" i="14"/>
  <c r="I751" i="14"/>
  <c r="L377" i="14"/>
  <c r="K686" i="14"/>
  <c r="L687" i="14"/>
  <c r="J690" i="14"/>
  <c r="K58" i="14"/>
  <c r="K948" i="14"/>
  <c r="I948" i="14"/>
  <c r="J948" i="14"/>
  <c r="L948" i="14"/>
  <c r="M948" i="14"/>
  <c r="J486" i="14"/>
  <c r="L486" i="14"/>
  <c r="K486" i="14"/>
  <c r="M486" i="14"/>
  <c r="I486" i="14"/>
  <c r="L589" i="14"/>
  <c r="I589" i="14"/>
  <c r="J589" i="14"/>
  <c r="K589" i="14"/>
  <c r="M589" i="14"/>
  <c r="K917" i="14"/>
  <c r="I917" i="14"/>
  <c r="J917" i="14"/>
  <c r="L917" i="14"/>
  <c r="M917" i="14"/>
  <c r="J513" i="14"/>
  <c r="K513" i="14"/>
  <c r="I513" i="14"/>
  <c r="M513" i="14"/>
  <c r="L513" i="14"/>
  <c r="M814" i="14"/>
  <c r="I814" i="14"/>
  <c r="J814" i="14"/>
  <c r="K814" i="14"/>
  <c r="L814" i="14"/>
  <c r="J990" i="14"/>
  <c r="K990" i="14"/>
  <c r="L990" i="14"/>
  <c r="M990" i="14"/>
  <c r="I990" i="14"/>
  <c r="L863" i="14"/>
  <c r="I863" i="14"/>
  <c r="M863" i="14"/>
  <c r="K863" i="14"/>
  <c r="J863" i="14"/>
  <c r="K928" i="14"/>
  <c r="I928" i="14"/>
  <c r="J928" i="14"/>
  <c r="M928" i="14"/>
  <c r="L928" i="14"/>
  <c r="I401" i="14"/>
  <c r="K401" i="14"/>
  <c r="J401" i="14"/>
  <c r="L401" i="14"/>
  <c r="M401" i="14"/>
  <c r="J791" i="14"/>
  <c r="J49" i="14"/>
  <c r="I1035" i="14"/>
  <c r="M137" i="14"/>
  <c r="I490" i="14"/>
  <c r="L698" i="14"/>
  <c r="M377" i="14"/>
  <c r="L985" i="14"/>
  <c r="J619" i="14"/>
  <c r="K794" i="14"/>
  <c r="J679" i="14"/>
  <c r="M1028" i="14"/>
  <c r="M94" i="14"/>
  <c r="M686" i="14"/>
  <c r="K380" i="14"/>
  <c r="L1009" i="14"/>
  <c r="L393" i="14"/>
  <c r="J119" i="14"/>
  <c r="I67" i="14"/>
  <c r="K481" i="14"/>
  <c r="I61" i="14"/>
  <c r="I411" i="14"/>
  <c r="L375" i="14"/>
  <c r="I548" i="14"/>
  <c r="J120" i="14"/>
  <c r="I149" i="14"/>
  <c r="M420" i="14"/>
  <c r="I434" i="14"/>
  <c r="M819" i="14"/>
  <c r="J1002" i="14"/>
  <c r="L252" i="14"/>
  <c r="I908" i="14"/>
  <c r="L181" i="14"/>
  <c r="L889" i="14"/>
  <c r="J661" i="14"/>
  <c r="K478" i="14"/>
  <c r="J210" i="14"/>
  <c r="L690" i="14"/>
  <c r="L216" i="14"/>
  <c r="I58" i="14"/>
  <c r="L611" i="14"/>
  <c r="J440" i="14"/>
  <c r="M798" i="14"/>
  <c r="I963" i="14"/>
  <c r="J230" i="14"/>
  <c r="M824" i="14"/>
  <c r="M956" i="14"/>
  <c r="J115" i="14"/>
  <c r="J287" i="14"/>
  <c r="J806" i="14"/>
  <c r="I544" i="14"/>
  <c r="K469" i="14"/>
  <c r="K450" i="14"/>
  <c r="K164" i="14"/>
  <c r="M1033" i="14"/>
  <c r="K1033" i="14"/>
  <c r="I1033" i="14"/>
  <c r="J1033" i="14"/>
  <c r="L1033" i="14"/>
  <c r="I775" i="14"/>
  <c r="J775" i="14"/>
  <c r="M775" i="14"/>
  <c r="K775" i="14"/>
  <c r="L775" i="14"/>
  <c r="L766" i="14"/>
  <c r="M766" i="14"/>
  <c r="I766" i="14"/>
  <c r="J766" i="14"/>
  <c r="K766" i="14"/>
  <c r="I940" i="14"/>
  <c r="K940" i="14"/>
  <c r="M940" i="14"/>
  <c r="J940" i="14"/>
  <c r="L940" i="14"/>
  <c r="K926" i="14"/>
  <c r="I926" i="14"/>
  <c r="L926" i="14"/>
  <c r="J926" i="14"/>
  <c r="M926" i="14"/>
  <c r="J410" i="14"/>
  <c r="I410" i="14"/>
  <c r="K410" i="14"/>
  <c r="L410" i="14"/>
  <c r="M410" i="14"/>
  <c r="K666" i="14"/>
  <c r="L666" i="14"/>
  <c r="I666" i="14"/>
  <c r="J666" i="14"/>
  <c r="M666" i="14"/>
  <c r="L660" i="14"/>
  <c r="K660" i="14"/>
  <c r="M660" i="14"/>
  <c r="I660" i="14"/>
  <c r="J660" i="14"/>
  <c r="I873" i="14"/>
  <c r="K873" i="14"/>
  <c r="M873" i="14"/>
  <c r="L873" i="14"/>
  <c r="J873" i="14"/>
  <c r="I476" i="14"/>
  <c r="J476" i="14"/>
  <c r="L476" i="14"/>
  <c r="K476" i="14"/>
  <c r="M476" i="14"/>
  <c r="I791" i="14"/>
  <c r="K49" i="14"/>
  <c r="M1035" i="14"/>
  <c r="J89" i="14"/>
  <c r="M490" i="14"/>
  <c r="K377" i="14"/>
  <c r="K985" i="14"/>
  <c r="M794" i="14"/>
  <c r="I679" i="14"/>
  <c r="I1028" i="14"/>
  <c r="L94" i="14"/>
  <c r="M605" i="14"/>
  <c r="L686" i="14"/>
  <c r="I1009" i="14"/>
  <c r="K106" i="14"/>
  <c r="J393" i="14"/>
  <c r="L67" i="14"/>
  <c r="I481" i="14"/>
  <c r="M61" i="14"/>
  <c r="K411" i="14"/>
  <c r="J331" i="14"/>
  <c r="M375" i="14"/>
  <c r="M548" i="14"/>
  <c r="I120" i="14"/>
  <c r="L921" i="14"/>
  <c r="L149" i="14"/>
  <c r="J434" i="14"/>
  <c r="K819" i="14"/>
  <c r="J252" i="14"/>
  <c r="L266" i="14"/>
  <c r="I181" i="14"/>
  <c r="M889" i="14"/>
  <c r="L661" i="14"/>
  <c r="J344" i="14"/>
  <c r="J478" i="14"/>
  <c r="I210" i="14"/>
  <c r="J141" i="14"/>
  <c r="I59" i="14"/>
  <c r="K216" i="14"/>
  <c r="M58" i="14"/>
  <c r="L892" i="14"/>
  <c r="K611" i="14"/>
  <c r="I440" i="14"/>
  <c r="J798" i="14"/>
  <c r="M963" i="14"/>
  <c r="I230" i="14"/>
  <c r="J824" i="14"/>
  <c r="L956" i="14"/>
  <c r="I115" i="14"/>
  <c r="I287" i="14"/>
  <c r="K806" i="14"/>
  <c r="M664" i="14"/>
  <c r="J544" i="14"/>
  <c r="M450" i="14"/>
  <c r="J278" i="14"/>
  <c r="L498" i="14"/>
  <c r="M498" i="14"/>
  <c r="I498" i="14"/>
  <c r="K498" i="14"/>
  <c r="J498" i="14"/>
  <c r="K726" i="14"/>
  <c r="M726" i="14"/>
  <c r="I726" i="14"/>
  <c r="L726" i="14"/>
  <c r="J726" i="14"/>
  <c r="L250" i="14"/>
  <c r="M250" i="14"/>
  <c r="K250" i="14"/>
  <c r="I250" i="14"/>
  <c r="J250" i="14"/>
  <c r="L411" i="14"/>
  <c r="J950" i="14"/>
  <c r="M950" i="14"/>
  <c r="I950" i="14"/>
  <c r="K950" i="14"/>
  <c r="L950" i="14"/>
  <c r="I92" i="14"/>
  <c r="J92" i="14"/>
  <c r="K92" i="14"/>
  <c r="L92" i="14"/>
  <c r="M92" i="14"/>
  <c r="J481" i="14"/>
  <c r="I771" i="14"/>
  <c r="J771" i="14"/>
  <c r="M771" i="14"/>
  <c r="L771" i="14"/>
  <c r="K771" i="14"/>
  <c r="L933" i="14"/>
  <c r="K933" i="14"/>
  <c r="J933" i="14"/>
  <c r="M933" i="14"/>
  <c r="I933" i="14"/>
  <c r="N209" i="14" l="1"/>
  <c r="N521" i="14"/>
  <c r="N698" i="14"/>
  <c r="N151" i="14"/>
  <c r="N654" i="14"/>
  <c r="N1029" i="14"/>
  <c r="N688" i="14"/>
  <c r="N652" i="14"/>
  <c r="N355" i="14"/>
  <c r="N164" i="14"/>
  <c r="N871" i="14"/>
  <c r="N81" i="14"/>
  <c r="N876" i="14"/>
  <c r="N801" i="14"/>
  <c r="N991" i="14"/>
  <c r="N866" i="14"/>
  <c r="N494" i="14"/>
  <c r="N895" i="14"/>
  <c r="N417" i="14"/>
  <c r="N165" i="14"/>
  <c r="N261" i="14"/>
  <c r="N144" i="14"/>
  <c r="N592" i="14"/>
  <c r="N354" i="14"/>
  <c r="N596" i="14"/>
  <c r="N179" i="14"/>
  <c r="N141" i="14"/>
  <c r="N534" i="14"/>
  <c r="N802" i="14"/>
  <c r="N167" i="14"/>
  <c r="N255" i="14"/>
  <c r="N425" i="14"/>
  <c r="N203" i="14"/>
  <c r="N183" i="14"/>
  <c r="N321" i="14"/>
  <c r="N185" i="14"/>
  <c r="N373" i="14"/>
  <c r="N468" i="14"/>
  <c r="N405" i="14"/>
  <c r="N977" i="14"/>
  <c r="N843" i="14"/>
  <c r="N488" i="14"/>
  <c r="N701" i="14"/>
  <c r="N931" i="14"/>
  <c r="N827" i="14"/>
  <c r="N110" i="14"/>
  <c r="N782" i="14"/>
  <c r="N536" i="14"/>
  <c r="N583" i="14"/>
  <c r="N602" i="14"/>
  <c r="N678" i="14"/>
  <c r="N398" i="14"/>
  <c r="N320" i="14"/>
  <c r="N1037" i="14"/>
  <c r="N282" i="14"/>
  <c r="N762" i="14"/>
  <c r="N826" i="14"/>
  <c r="N59" i="14"/>
  <c r="N124" i="14"/>
  <c r="N724" i="14"/>
  <c r="N506" i="14"/>
  <c r="N257" i="14"/>
  <c r="N430" i="14"/>
  <c r="N75" i="14"/>
  <c r="N328" i="14"/>
  <c r="N788" i="14"/>
  <c r="N438" i="14"/>
  <c r="N431" i="14"/>
  <c r="N345" i="14"/>
  <c r="N637" i="14"/>
  <c r="N870" i="14"/>
  <c r="N130" i="14"/>
  <c r="N275" i="14"/>
  <c r="N561" i="14"/>
  <c r="N107" i="14"/>
  <c r="N632" i="14"/>
  <c r="N309" i="14"/>
  <c r="N65" i="14"/>
  <c r="N653" i="14"/>
  <c r="N713" i="14"/>
  <c r="N63" i="14"/>
  <c r="N454" i="14"/>
  <c r="N913" i="14"/>
  <c r="N750" i="14"/>
  <c r="N755" i="14"/>
  <c r="N273" i="14"/>
  <c r="N938" i="14"/>
  <c r="N669" i="14"/>
  <c r="N725" i="14"/>
  <c r="N236" i="14"/>
  <c r="N277" i="14"/>
  <c r="N299" i="14"/>
  <c r="N51" i="14"/>
  <c r="N616" i="14"/>
  <c r="N441" i="14"/>
  <c r="N349" i="14"/>
  <c r="N563" i="14"/>
  <c r="N672" i="14"/>
  <c r="N399" i="14"/>
  <c r="N823" i="14"/>
  <c r="N813" i="14"/>
  <c r="N293" i="14"/>
  <c r="N587" i="14"/>
  <c r="N152" i="14"/>
  <c r="N744" i="14"/>
  <c r="N795" i="14"/>
  <c r="N896" i="14"/>
  <c r="N1007" i="14"/>
  <c r="N965" i="14"/>
  <c r="N537" i="14"/>
  <c r="N133" i="14"/>
  <c r="N421" i="14"/>
  <c r="N731" i="14"/>
  <c r="N620" i="14"/>
  <c r="N263" i="14"/>
  <c r="N219" i="14"/>
  <c r="N497" i="14"/>
  <c r="N482" i="14"/>
  <c r="N85" i="14"/>
  <c r="N677" i="14"/>
  <c r="N391" i="14"/>
  <c r="N208" i="14"/>
  <c r="N174" i="14"/>
  <c r="N427" i="14"/>
  <c r="N228" i="14"/>
  <c r="N535" i="14"/>
  <c r="N891" i="14"/>
  <c r="N850" i="14"/>
  <c r="N471" i="14"/>
  <c r="N932" i="14"/>
  <c r="N325" i="14"/>
  <c r="N289" i="14"/>
  <c r="N286" i="14"/>
  <c r="N711" i="14"/>
  <c r="N166" i="14"/>
  <c r="N644" i="14"/>
  <c r="N169" i="14"/>
  <c r="N582" i="14"/>
  <c r="N522" i="14"/>
  <c r="N634" i="14"/>
  <c r="N507" i="14"/>
  <c r="N158" i="14"/>
  <c r="N380" i="14"/>
  <c r="N346" i="14"/>
  <c r="N552" i="14"/>
  <c r="N714" i="14"/>
  <c r="N759" i="14"/>
  <c r="N1019" i="14"/>
  <c r="N338" i="14"/>
  <c r="N44" i="14"/>
  <c r="N1006" i="14"/>
  <c r="N753" i="14"/>
  <c r="N783" i="14"/>
  <c r="N774" i="14"/>
  <c r="N73" i="14"/>
  <c r="N196" i="14"/>
  <c r="N951" i="14"/>
  <c r="N692" i="14"/>
  <c r="N397" i="14"/>
  <c r="N685" i="14"/>
  <c r="N585" i="14"/>
  <c r="N921" i="14"/>
  <c r="N662" i="14"/>
  <c r="N473" i="14"/>
  <c r="N910" i="14"/>
  <c r="N593" i="14"/>
  <c r="N853" i="14"/>
  <c r="N305" i="14"/>
  <c r="N426" i="14"/>
  <c r="N403" i="14"/>
  <c r="N353" i="14"/>
  <c r="N868" i="14"/>
  <c r="N191" i="14"/>
  <c r="N579" i="14"/>
  <c r="N715" i="14"/>
  <c r="N334" i="14"/>
  <c r="N758" i="14"/>
  <c r="N595" i="14"/>
  <c r="N424" i="14"/>
  <c r="N95" i="14"/>
  <c r="N722" i="14"/>
  <c r="N994" i="14"/>
  <c r="N615" i="14"/>
  <c r="N1025" i="14"/>
  <c r="N336" i="14"/>
  <c r="N262" i="14"/>
  <c r="N927" i="14"/>
  <c r="N383" i="14"/>
  <c r="N157" i="14"/>
  <c r="N867" i="14"/>
  <c r="N306" i="14"/>
  <c r="N56" i="14"/>
  <c r="N323" i="14"/>
  <c r="N893" i="14"/>
  <c r="N695" i="14"/>
  <c r="N343" i="14"/>
  <c r="N246" i="14"/>
  <c r="N294" i="14"/>
  <c r="N586" i="14"/>
  <c r="N614" i="14"/>
  <c r="N845" i="14"/>
  <c r="N907" i="14"/>
  <c r="N934" i="14"/>
  <c r="N279" i="14"/>
  <c r="N518" i="14"/>
  <c r="N643" i="14"/>
  <c r="N123" i="14"/>
  <c r="N434" i="14"/>
  <c r="N77" i="14"/>
  <c r="N953" i="14"/>
  <c r="N326" i="14"/>
  <c r="N129" i="14"/>
  <c r="N189" i="14"/>
  <c r="N848" i="14"/>
  <c r="N212" i="14"/>
  <c r="N557" i="14"/>
  <c r="N740" i="14"/>
  <c r="N193" i="14"/>
  <c r="N227" i="14"/>
  <c r="N527" i="14"/>
  <c r="N385" i="14"/>
  <c r="N222" i="14"/>
  <c r="N87" i="14"/>
  <c r="N231" i="14"/>
  <c r="N543" i="14"/>
  <c r="N249" i="14"/>
  <c r="N624" i="14"/>
  <c r="N91" i="14"/>
  <c r="N437" i="14"/>
  <c r="N418" i="14"/>
  <c r="N140" i="14"/>
  <c r="N979" i="14"/>
  <c r="N916" i="14"/>
  <c r="N384" i="14"/>
  <c r="N70" i="14"/>
  <c r="N314" i="14"/>
  <c r="N784" i="14"/>
  <c r="N47" i="14"/>
  <c r="N1017" i="14"/>
  <c r="N362" i="14"/>
  <c r="N154" i="14"/>
  <c r="N92" i="14"/>
  <c r="N278" i="14"/>
  <c r="N661" i="14"/>
  <c r="N94" i="14"/>
  <c r="N490" i="14"/>
  <c r="N128" i="14"/>
  <c r="N987" i="14"/>
  <c r="N568" i="14"/>
  <c r="N864" i="14"/>
  <c r="N200" i="14"/>
  <c r="N181" i="14"/>
  <c r="N1035" i="14"/>
  <c r="N918" i="14"/>
  <c r="N201" i="14"/>
  <c r="N369" i="14"/>
  <c r="N609" i="14"/>
  <c r="N414" i="14"/>
  <c r="N42" i="14"/>
  <c r="N1020" i="14"/>
  <c r="N1013" i="14"/>
  <c r="N882" i="14"/>
  <c r="N540" i="14"/>
  <c r="N479" i="14"/>
  <c r="N606" i="14"/>
  <c r="N400" i="14"/>
  <c r="N402" i="14"/>
  <c r="N519" i="14"/>
  <c r="N739" i="14"/>
  <c r="N806" i="14"/>
  <c r="N377" i="14"/>
  <c r="N799" i="14"/>
  <c r="N618" i="14"/>
  <c r="N889" i="14"/>
  <c r="N1028" i="14"/>
  <c r="N149" i="14"/>
  <c r="N486" i="14"/>
  <c r="N243" i="14"/>
  <c r="N72" i="14"/>
  <c r="N284" i="14"/>
  <c r="N550" i="14"/>
  <c r="N266" i="14"/>
  <c r="N548" i="14"/>
  <c r="N49" i="14"/>
  <c r="N858" i="14"/>
  <c r="N451" i="14"/>
  <c r="N1030" i="14"/>
  <c r="N224" i="14"/>
  <c r="N825" i="14"/>
  <c r="N892" i="14"/>
  <c r="N957" i="14"/>
  <c r="N307" i="14"/>
  <c r="N57" i="14"/>
  <c r="N252" i="14"/>
  <c r="N485" i="14"/>
  <c r="N704" i="14"/>
  <c r="N361" i="14"/>
  <c r="N658" i="14"/>
  <c r="N572" i="14"/>
  <c r="N509" i="14"/>
  <c r="N444" i="14"/>
  <c r="N145" i="14"/>
  <c r="N116" i="14"/>
  <c r="N810" i="14"/>
  <c r="N442" i="14"/>
  <c r="N356" i="14"/>
  <c r="N386" i="14"/>
  <c r="N271" i="14"/>
  <c r="N728" i="14"/>
  <c r="N1001" i="14"/>
  <c r="N975" i="14"/>
  <c r="N258" i="14"/>
  <c r="N215" i="14"/>
  <c r="N477" i="14"/>
  <c r="N276" i="14"/>
  <c r="N93" i="14"/>
  <c r="N993" i="14"/>
  <c r="N962" i="14"/>
  <c r="N52" i="14"/>
  <c r="N237" i="14"/>
  <c r="N687" i="14"/>
  <c r="N584" i="14"/>
  <c r="N985" i="14"/>
  <c r="N138" i="14"/>
  <c r="N603" i="14"/>
  <c r="N963" i="14"/>
  <c r="N184" i="14"/>
  <c r="N610" i="14"/>
  <c r="N61" i="14"/>
  <c r="N855" i="14"/>
  <c r="N656" i="14"/>
  <c r="N933" i="14"/>
  <c r="N270" i="14"/>
  <c r="N439" i="14"/>
  <c r="N147" i="14"/>
  <c r="N798" i="14"/>
  <c r="N555" i="14"/>
  <c r="N514" i="14"/>
  <c r="N142" i="14"/>
  <c r="N62" i="14"/>
  <c r="N510" i="14"/>
  <c r="N846" i="14"/>
  <c r="N127" i="14"/>
  <c r="N671" i="14"/>
  <c r="N524" i="14"/>
  <c r="N679" i="14"/>
  <c r="N598" i="14"/>
  <c r="N657" i="14"/>
  <c r="N862" i="14"/>
  <c r="N664" i="14"/>
  <c r="N41" i="14"/>
  <c r="N74" i="14"/>
  <c r="N319" i="14"/>
  <c r="N416" i="14"/>
  <c r="N562" i="14"/>
  <c r="N929" i="14"/>
  <c r="N118" i="14"/>
  <c r="N375" i="14"/>
  <c r="N206" i="14"/>
  <c r="N748" i="14"/>
  <c r="N747" i="14"/>
  <c r="N122" i="14"/>
  <c r="N245" i="14"/>
  <c r="N675" i="14"/>
  <c r="N445" i="14"/>
  <c r="N330" i="14"/>
  <c r="N903" i="14"/>
  <c r="N238" i="14"/>
  <c r="N941" i="14"/>
  <c r="N570" i="14"/>
  <c r="N613" i="14"/>
  <c r="N280" i="14"/>
  <c r="N420" i="14"/>
  <c r="N392" i="14"/>
  <c r="N461" i="14"/>
  <c r="N269" i="14"/>
  <c r="N251" i="14"/>
  <c r="N682" i="14"/>
  <c r="N787" i="14"/>
  <c r="N234" i="14"/>
  <c r="N912" i="14"/>
  <c r="N390" i="14"/>
  <c r="N226" i="14"/>
  <c r="N84" i="14"/>
  <c r="N463" i="14"/>
  <c r="N478" i="14"/>
  <c r="N176" i="14"/>
  <c r="N778" i="14"/>
  <c r="N178" i="14"/>
  <c r="N342" i="14"/>
  <c r="N79" i="14"/>
  <c r="N673" i="14"/>
  <c r="N60" i="14"/>
  <c r="N254" i="14"/>
  <c r="N137" i="14"/>
  <c r="N292" i="14"/>
  <c r="N793" i="14"/>
  <c r="N706" i="14"/>
  <c r="N600" i="14"/>
  <c r="N256" i="14"/>
  <c r="N108" i="14"/>
  <c r="N955" i="14"/>
  <c r="N1005" i="14"/>
  <c r="N106" i="14"/>
  <c r="N946" i="14"/>
  <c r="N55" i="14"/>
  <c r="N54" i="14"/>
  <c r="N619" i="14"/>
  <c r="N311" i="14"/>
  <c r="N837" i="14"/>
  <c r="N835" i="14"/>
  <c r="N344" i="14"/>
  <c r="N605" i="14"/>
  <c r="N544" i="14"/>
  <c r="N990" i="14"/>
  <c r="N686" i="14"/>
  <c r="N727" i="14"/>
  <c r="N859" i="14"/>
  <c r="N1012" i="14"/>
  <c r="N161" i="14"/>
  <c r="N190" i="14"/>
  <c r="N820" i="14"/>
  <c r="N622" i="14"/>
  <c r="N566" i="14"/>
  <c r="N68" i="14"/>
  <c r="N693" i="14"/>
  <c r="N316" i="14"/>
  <c r="N538" i="14"/>
  <c r="N833" i="14"/>
  <c r="N883" i="14"/>
  <c r="N776" i="14"/>
  <c r="N281" i="14"/>
  <c r="N556" i="14"/>
  <c r="N930" i="14"/>
  <c r="N67" i="14"/>
  <c r="N968" i="14"/>
  <c r="N348" i="14"/>
  <c r="N707" i="14"/>
  <c r="N779" i="14"/>
  <c r="N327" i="14"/>
  <c r="N528" i="14"/>
  <c r="N505" i="14"/>
  <c r="N58" i="14"/>
  <c r="N119" i="14"/>
  <c r="N143" i="14"/>
  <c r="N640" i="14"/>
  <c r="N139" i="14"/>
  <c r="N901" i="14"/>
  <c r="N64" i="14"/>
  <c r="N214" i="14"/>
  <c r="N247" i="14"/>
  <c r="N351" i="14"/>
  <c r="N803" i="14"/>
  <c r="N428" i="14"/>
  <c r="N464" i="14"/>
  <c r="N638" i="14"/>
  <c r="N435" i="14"/>
  <c r="N716" i="14"/>
  <c r="N898" i="14"/>
  <c r="N558" i="14"/>
  <c r="N773" i="14"/>
  <c r="N89" i="14"/>
  <c r="N101" i="14"/>
  <c r="N86" i="14"/>
  <c r="N512" i="14"/>
  <c r="N828" i="14"/>
  <c r="N735" i="14"/>
  <c r="N541" i="14"/>
  <c r="N824" i="14"/>
  <c r="N1003" i="14"/>
  <c r="N453" i="14"/>
  <c r="N443" i="14"/>
  <c r="N407" i="14"/>
  <c r="N331" i="14"/>
  <c r="N436" i="14"/>
  <c r="N874" i="14"/>
  <c r="N986" i="14"/>
  <c r="N192" i="14"/>
  <c r="N517" i="14"/>
  <c r="N611" i="14"/>
  <c r="N690" i="14"/>
  <c r="N790" i="14"/>
  <c r="N904" i="14"/>
  <c r="N966" i="14"/>
  <c r="N998" i="14"/>
  <c r="N341" i="14"/>
  <c r="N465" i="14"/>
  <c r="N565" i="14"/>
  <c r="N691" i="14"/>
  <c r="N455" i="14"/>
  <c r="N805" i="14"/>
  <c r="N720" i="14"/>
  <c r="N945" i="14"/>
  <c r="N884" i="14"/>
  <c r="N752" i="14"/>
  <c r="N651" i="14"/>
  <c r="N625" i="14"/>
  <c r="N815" i="14"/>
  <c r="N786" i="14"/>
  <c r="N324" i="14"/>
  <c r="N412" i="14"/>
  <c r="N547" i="14"/>
  <c r="N949" i="14"/>
  <c r="N697" i="14"/>
  <c r="N300" i="14"/>
  <c r="N366" i="14"/>
  <c r="N491" i="14"/>
  <c r="N39" i="14"/>
  <c r="B30" i="14" s="1"/>
  <c r="N785" i="14"/>
  <c r="N374" i="14"/>
  <c r="N1014" i="14"/>
  <c r="N503" i="14"/>
  <c r="N459" i="14"/>
  <c r="N296" i="14"/>
  <c r="N308" i="14"/>
  <c r="N162" i="14"/>
  <c r="N683" i="14"/>
  <c r="N80" i="14"/>
  <c r="N217" i="14"/>
  <c r="N472" i="14"/>
  <c r="N146" i="14"/>
  <c r="N873" i="14"/>
  <c r="N469" i="14"/>
  <c r="N1002" i="14"/>
  <c r="N493" i="14"/>
  <c r="N387" i="14"/>
  <c r="N567" i="14"/>
  <c r="N973" i="14"/>
  <c r="N612" i="14"/>
  <c r="N674" i="14"/>
  <c r="N647" i="14"/>
  <c r="N291" i="14"/>
  <c r="N229" i="14"/>
  <c r="N96" i="14"/>
  <c r="N378" i="14"/>
  <c r="N818" i="14"/>
  <c r="N480" i="14"/>
  <c r="N995" i="14"/>
  <c r="N1015" i="14"/>
  <c r="N604" i="14"/>
  <c r="N233" i="14"/>
  <c r="N575" i="14"/>
  <c r="N781" i="14"/>
  <c r="N50" i="14"/>
  <c r="N484" i="14"/>
  <c r="N172" i="14"/>
  <c r="N104" i="14"/>
  <c r="N218" i="14"/>
  <c r="N847" i="14"/>
  <c r="N542" i="14"/>
  <c r="N446" i="14"/>
  <c r="N117" i="14"/>
  <c r="N199" i="14"/>
  <c r="N736" i="14"/>
  <c r="N205" i="14"/>
  <c r="N352" i="14"/>
  <c r="N742" i="14"/>
  <c r="N529" i="14"/>
  <c r="N489" i="14"/>
  <c r="N115" i="14"/>
  <c r="N322" i="14"/>
  <c r="N1024" i="14"/>
  <c r="N530" i="14"/>
  <c r="N581" i="14"/>
  <c r="N260" i="14"/>
  <c r="N838" i="14"/>
  <c r="N919" i="14"/>
  <c r="N401" i="14"/>
  <c r="N376" i="14"/>
  <c r="N195" i="14"/>
  <c r="N743" i="14"/>
  <c r="N775" i="14"/>
  <c r="N513" i="14"/>
  <c r="N53" i="14"/>
  <c r="N915" i="14"/>
  <c r="N432" i="14"/>
  <c r="N111" i="14"/>
  <c r="N364" i="14"/>
  <c r="N983" i="14"/>
  <c r="N789" i="14"/>
  <c r="N545" i="14"/>
  <c r="N452" i="14"/>
  <c r="N457" i="14"/>
  <c r="N976" i="14"/>
  <c r="N601" i="14"/>
  <c r="N337" i="14"/>
  <c r="N947" i="14"/>
  <c r="N1023" i="14"/>
  <c r="N1032" i="14"/>
  <c r="N404" i="14"/>
  <c r="N754" i="14"/>
  <c r="N594" i="14"/>
  <c r="N310" i="14"/>
  <c r="N475" i="14"/>
  <c r="N440" i="14"/>
  <c r="N410" i="14"/>
  <c r="N248" i="14"/>
  <c r="N301" i="14"/>
  <c r="N729" i="14"/>
  <c r="N313" i="14"/>
  <c r="N409" i="14"/>
  <c r="N811" i="14"/>
  <c r="N852" i="14"/>
  <c r="N809" i="14"/>
  <c r="N69" i="14"/>
  <c r="N363" i="14"/>
  <c r="N182" i="14"/>
  <c r="N470" i="14"/>
  <c r="N360" i="14"/>
  <c r="N718" i="14"/>
  <c r="N757" i="14"/>
  <c r="N821" i="14"/>
  <c r="N628" i="14"/>
  <c r="N415" i="14"/>
  <c r="N817" i="14"/>
  <c r="N549" i="14"/>
  <c r="N175" i="14"/>
  <c r="N737" i="14"/>
  <c r="N160" i="14"/>
  <c r="N422" i="14"/>
  <c r="N911" i="14"/>
  <c r="N660" i="14"/>
  <c r="N589" i="14"/>
  <c r="N1022" i="14"/>
  <c r="N462" i="14"/>
  <c r="N1026" i="14"/>
  <c r="N288" i="14"/>
  <c r="N283" i="14"/>
  <c r="N532" i="14"/>
  <c r="N317" i="14"/>
  <c r="N772" i="14"/>
  <c r="N703" i="14"/>
  <c r="N267" i="14"/>
  <c r="N388" i="14"/>
  <c r="N709" i="14"/>
  <c r="N831" i="14"/>
  <c r="N232" i="14"/>
  <c r="N202" i="14"/>
  <c r="N974" i="14"/>
  <c r="N885" i="14"/>
  <c r="N959" i="14"/>
  <c r="N287" i="14"/>
  <c r="N347" i="14"/>
  <c r="N559" i="14"/>
  <c r="N655" i="14"/>
  <c r="N992" i="14"/>
  <c r="N554" i="14"/>
  <c r="N264" i="14"/>
  <c r="N194" i="14"/>
  <c r="N738" i="14"/>
  <c r="N879" i="14"/>
  <c r="N842" i="14"/>
  <c r="N1021" i="14"/>
  <c r="N960" i="14"/>
  <c r="N168" i="14"/>
  <c r="N834" i="14"/>
  <c r="N379" i="14"/>
  <c r="N433" i="14"/>
  <c r="N40" i="14"/>
  <c r="N967" i="14"/>
  <c r="N969" i="14"/>
  <c r="N155" i="14"/>
  <c r="N1027" i="14"/>
  <c r="N920" i="14"/>
  <c r="N520" i="14"/>
  <c r="N988" i="14"/>
  <c r="N741" i="14"/>
  <c r="N684" i="14"/>
  <c r="N103" i="14"/>
  <c r="N213" i="14"/>
  <c r="N631" i="14"/>
  <c r="N712" i="14"/>
  <c r="N221" i="14"/>
  <c r="N970" i="14"/>
  <c r="N304" i="14"/>
  <c r="N358" i="14"/>
  <c r="N1010" i="14"/>
  <c r="N1036" i="14"/>
  <c r="N153" i="14"/>
  <c r="N865" i="14"/>
  <c r="N924" i="14"/>
  <c r="N112" i="14"/>
  <c r="N726" i="14"/>
  <c r="N1033" i="14"/>
  <c r="N173" i="14"/>
  <c r="N768" i="14"/>
  <c r="N700" i="14"/>
  <c r="N186" i="14"/>
  <c r="N717" i="14"/>
  <c r="N83" i="14"/>
  <c r="N135" i="14"/>
  <c r="N447" i="14"/>
  <c r="N771" i="14"/>
  <c r="N481" i="14"/>
  <c r="N476" i="14"/>
  <c r="N43" i="14"/>
  <c r="N235" i="14"/>
  <c r="N857" i="14"/>
  <c r="N764" i="14"/>
  <c r="N359" i="14"/>
  <c r="N496" i="14"/>
  <c r="N406" i="14"/>
  <c r="N474" i="14"/>
  <c r="N1004" i="14"/>
  <c r="N370" i="14"/>
  <c r="N577" i="14"/>
  <c r="N382" i="14"/>
  <c r="N909" i="14"/>
  <c r="N710" i="14"/>
  <c r="N804" i="14"/>
  <c r="N900" i="14"/>
  <c r="N623" i="14"/>
  <c r="N696" i="14"/>
  <c r="N591" i="14"/>
  <c r="N648" i="14"/>
  <c r="N448" i="14"/>
  <c r="N886" i="14"/>
  <c r="N830" i="14"/>
  <c r="N899" i="14"/>
  <c r="N608" i="14"/>
  <c r="N854" i="14"/>
  <c r="N872" i="14"/>
  <c r="N335" i="14"/>
  <c r="N216" i="14"/>
  <c r="N659" i="14"/>
  <c r="N495" i="14"/>
  <c r="N211" i="14"/>
  <c r="N526" i="14"/>
  <c r="N890" i="14"/>
  <c r="N131" i="14"/>
  <c r="N121" i="14"/>
  <c r="N980" i="14"/>
  <c r="N1031" i="14"/>
  <c r="N259" i="14"/>
  <c r="N394" i="14"/>
  <c r="N816" i="14"/>
  <c r="N636" i="14"/>
  <c r="N869" i="14"/>
  <c r="N136" i="14"/>
  <c r="N633" i="14"/>
  <c r="N989" i="14"/>
  <c r="N242" i="14"/>
  <c r="N105" i="14"/>
  <c r="N423" i="14"/>
  <c r="N90" i="14"/>
  <c r="N650" i="14"/>
  <c r="N897" i="14"/>
  <c r="N188" i="14"/>
  <c r="N429" i="14"/>
  <c r="N580" i="14"/>
  <c r="N627" i="14"/>
  <c r="N365" i="14"/>
  <c r="N940" i="14"/>
  <c r="N880" i="14"/>
  <c r="N800" i="14"/>
  <c r="N668" i="14"/>
  <c r="N97" i="14"/>
  <c r="N923" i="14"/>
  <c r="N180" i="14"/>
  <c r="N766" i="14"/>
  <c r="N204" i="14"/>
  <c r="N756" i="14"/>
  <c r="N635" i="14"/>
  <c r="N408" i="14"/>
  <c r="N952" i="14"/>
  <c r="N265" i="14"/>
  <c r="N666" i="14"/>
  <c r="N315" i="14"/>
  <c r="N719" i="14"/>
  <c r="N814" i="14"/>
  <c r="N525" i="14"/>
  <c r="N925" i="14"/>
  <c r="N630" i="14"/>
  <c r="N460" i="14"/>
  <c r="N948" i="14"/>
  <c r="N680" i="14"/>
  <c r="N466" i="14"/>
  <c r="N765" i="14"/>
  <c r="N767" i="14"/>
  <c r="N413" i="14"/>
  <c r="N395" i="14"/>
  <c r="N303" i="14"/>
  <c r="N928" i="14"/>
  <c r="N621" i="14"/>
  <c r="N981" i="14"/>
  <c r="N393" i="14"/>
  <c r="N926" i="14"/>
  <c r="N917" i="14"/>
  <c r="N368" i="14"/>
  <c r="N274" i="14"/>
  <c r="N187" i="14"/>
  <c r="N590" i="14"/>
  <c r="N971" i="14"/>
  <c r="N501" i="14"/>
  <c r="N350" i="14"/>
  <c r="N642" i="14"/>
  <c r="N905" i="14"/>
  <c r="N113" i="14"/>
  <c r="N516" i="14"/>
  <c r="N1038" i="14"/>
  <c r="N822" i="14"/>
  <c r="N878" i="14"/>
  <c r="N705" i="14"/>
  <c r="N792" i="14"/>
  <c r="N389" i="14"/>
  <c r="N171" i="14"/>
  <c r="N109" i="14"/>
  <c r="N935" i="14"/>
  <c r="N100" i="14"/>
  <c r="N45" i="14"/>
  <c r="N851" i="14"/>
  <c r="N333" i="14"/>
  <c r="N646" i="14"/>
  <c r="N914" i="14"/>
  <c r="N861" i="14"/>
  <c r="N950" i="14"/>
  <c r="N836" i="14"/>
  <c r="N357" i="14"/>
  <c r="N467" i="14"/>
  <c r="N749" i="14"/>
  <c r="N177" i="14"/>
  <c r="N511" i="14"/>
  <c r="N597" i="14"/>
  <c r="N819" i="14"/>
  <c r="N906" i="14"/>
  <c r="N902" i="14"/>
  <c r="N745" i="14"/>
  <c r="N244" i="14"/>
  <c r="N841" i="14"/>
  <c r="N721" i="14"/>
  <c r="N458" i="14"/>
  <c r="N48" i="14"/>
  <c r="N207" i="14"/>
  <c r="N318" i="14"/>
  <c r="N502" i="14"/>
  <c r="N197" i="14"/>
  <c r="N102" i="14"/>
  <c r="N571" i="14"/>
  <c r="N972" i="14"/>
  <c r="N1018" i="14"/>
  <c r="N367" i="14"/>
  <c r="N569" i="14"/>
  <c r="N649" i="14"/>
  <c r="N163" i="14"/>
  <c r="N531" i="14"/>
  <c r="N539" i="14"/>
  <c r="N770" i="14"/>
  <c r="N808" i="14"/>
  <c r="N98" i="14"/>
  <c r="N964" i="14"/>
  <c r="N329" i="14"/>
  <c r="N689" i="14"/>
  <c r="N780" i="14"/>
  <c r="N797" i="14"/>
  <c r="N588" i="14"/>
  <c r="N220" i="14"/>
  <c r="N290" i="14"/>
  <c r="N942" i="14"/>
  <c r="N78" i="14"/>
  <c r="N832" i="14"/>
  <c r="N230" i="14"/>
  <c r="N515" i="14"/>
  <c r="N791" i="14"/>
  <c r="N617" i="14"/>
  <c r="N961" i="14"/>
  <c r="N285" i="14"/>
  <c r="N996" i="14"/>
  <c r="N676" i="14"/>
  <c r="N840" i="14"/>
  <c r="N999" i="14"/>
  <c r="N578" i="14"/>
  <c r="N663" i="14"/>
  <c r="N665" i="14"/>
  <c r="N297" i="14"/>
  <c r="N126" i="14"/>
  <c r="N908" i="14"/>
  <c r="N794" i="14"/>
  <c r="N751" i="14"/>
  <c r="N198" i="14"/>
  <c r="N419" i="14"/>
  <c r="N877" i="14"/>
  <c r="N699" i="14"/>
  <c r="N777" i="14"/>
  <c r="N881" i="14"/>
  <c r="N849" i="14"/>
  <c r="N746" i="14"/>
  <c r="N159" i="14"/>
  <c r="N958" i="14"/>
  <c r="N148" i="14"/>
  <c r="N769" i="14"/>
  <c r="N551" i="14"/>
  <c r="N829" i="14"/>
  <c r="N46" i="14"/>
  <c r="N888" i="14"/>
  <c r="N574" i="14"/>
  <c r="N240" i="14"/>
  <c r="N508" i="14"/>
  <c r="N937" i="14"/>
  <c r="N954" i="14"/>
  <c r="N734" i="14"/>
  <c r="N114" i="14"/>
  <c r="N887" i="14"/>
  <c r="N875" i="14"/>
  <c r="N667" i="14"/>
  <c r="N860" i="14"/>
  <c r="N295" i="14"/>
  <c r="N76" i="14"/>
  <c r="N760" i="14"/>
  <c r="N225" i="14"/>
  <c r="N560" i="14"/>
  <c r="N504" i="14"/>
  <c r="N546" i="14"/>
  <c r="N150" i="14"/>
  <c r="N844" i="14"/>
  <c r="N645" i="14"/>
  <c r="N1016" i="14"/>
  <c r="N332" i="14"/>
  <c r="N708" i="14"/>
  <c r="N71" i="14"/>
  <c r="N839" i="14"/>
  <c r="N607" i="14"/>
  <c r="N702" i="14"/>
  <c r="N253" i="14"/>
  <c r="N812" i="14"/>
  <c r="N302" i="14"/>
  <c r="N339" i="14"/>
  <c r="N223" i="14"/>
  <c r="N939" i="14"/>
  <c r="N730" i="14"/>
  <c r="N763" i="14"/>
  <c r="N732" i="14"/>
  <c r="N487" i="14"/>
  <c r="N761" i="14"/>
  <c r="N694" i="14"/>
  <c r="N984" i="14"/>
  <c r="N411" i="14"/>
  <c r="N982" i="14"/>
  <c r="N723" i="14"/>
  <c r="N807" i="14"/>
  <c r="N298" i="14"/>
  <c r="N132" i="14"/>
  <c r="N82" i="14"/>
  <c r="N639" i="14"/>
  <c r="N956" i="14"/>
  <c r="N88" i="14"/>
  <c r="N312" i="14"/>
  <c r="N1011" i="14"/>
  <c r="N796" i="14"/>
  <c r="N250" i="14"/>
  <c r="N66" i="14"/>
  <c r="N523" i="14"/>
  <c r="N936" i="14"/>
  <c r="N626" i="14"/>
  <c r="N641" i="14"/>
  <c r="N456" i="14"/>
  <c r="N978" i="14"/>
  <c r="N120" i="14"/>
  <c r="N268" i="14"/>
  <c r="N553" i="14"/>
  <c r="N922" i="14"/>
  <c r="N371" i="14"/>
  <c r="N500" i="14"/>
  <c r="N170" i="14"/>
  <c r="N629" i="14"/>
  <c r="N997" i="14"/>
  <c r="N239" i="14"/>
  <c r="N241" i="14"/>
  <c r="N670" i="14"/>
  <c r="N564" i="14"/>
  <c r="N533" i="14"/>
  <c r="N1008" i="14"/>
  <c r="N483" i="14"/>
  <c r="N599" i="14"/>
  <c r="N134" i="14"/>
  <c r="N499" i="14"/>
  <c r="N944" i="14"/>
  <c r="N856" i="14"/>
  <c r="N498" i="14"/>
  <c r="N210" i="14"/>
  <c r="N1009" i="14"/>
  <c r="N450" i="14"/>
  <c r="N863" i="14"/>
  <c r="N449" i="14"/>
  <c r="N372" i="14"/>
  <c r="N492" i="14"/>
  <c r="N573" i="14"/>
  <c r="N396" i="14"/>
  <c r="N340" i="14"/>
  <c r="N681" i="14"/>
  <c r="N576" i="14"/>
  <c r="N943" i="14"/>
  <c r="N99" i="14"/>
  <c r="N272" i="14"/>
  <c r="N1000" i="14"/>
  <c r="N125" i="14"/>
  <c r="N381" i="14"/>
  <c r="N1034" i="14"/>
  <c r="N733" i="14"/>
  <c r="N894" i="14"/>
  <c r="N156" i="14"/>
  <c r="B31" i="14" l="1"/>
  <c r="D23" i="14"/>
  <c r="B34" i="14"/>
  <c r="D22" i="14"/>
  <c r="B29" i="14"/>
  <c r="D25" i="14"/>
  <c r="D26" i="14"/>
  <c r="B32" i="14"/>
  <c r="B33" i="14"/>
  <c r="D24" i="14"/>
  <c r="B35" i="14"/>
</calcChain>
</file>

<file path=xl/sharedStrings.xml><?xml version="1.0" encoding="utf-8"?>
<sst xmlns="http://schemas.openxmlformats.org/spreadsheetml/2006/main" count="806" uniqueCount="525">
  <si>
    <t>Inputs</t>
  </si>
  <si>
    <t>Peak Electricity Tariff (S$/kWh)</t>
  </si>
  <si>
    <t>Off-Peak Electricity Tariff (S$/kWh)</t>
  </si>
  <si>
    <t>Retail-to-Wholesale Multiplier</t>
  </si>
  <si>
    <t>Total Facility Shelf Area (m²)</t>
  </si>
  <si>
    <t xml:space="preserve"> </t>
  </si>
  <si>
    <t>Biological Yield (kg/m^2/cycle)</t>
  </si>
  <si>
    <t>Cycle Length (Days)</t>
  </si>
  <si>
    <t>Optimized Energy Intensity (kWh/kg)</t>
  </si>
  <si>
    <t>Retail Benchmark (S$/kg)</t>
  </si>
  <si>
    <t>Calculated Wholesale Price (S$/kg)</t>
  </si>
  <si>
    <t>Lighting Rate (S$/kWh)</t>
  </si>
  <si>
    <t>Vol.of water used (L/kg)</t>
  </si>
  <si>
    <t>Vol.of Water Used per Biological Yield (L/m^2/cycle)</t>
  </si>
  <si>
    <t>Crop</t>
  </si>
  <si>
    <r>
      <t>Retail Benchmark (</t>
    </r>
    <r>
      <rPr>
        <b/>
        <sz val="11"/>
        <color theme="1"/>
        <rFont val="Arial"/>
        <family val="2"/>
      </rPr>
      <t>S$/kg</t>
    </r>
    <r>
      <rPr>
        <b/>
        <sz val="11"/>
        <color theme="1"/>
        <rFont val="Aptos Narrow"/>
        <family val="2"/>
        <scheme val="minor"/>
      </rPr>
      <t>)</t>
    </r>
  </si>
  <si>
    <t>(Photoperiod - Hours)</t>
  </si>
  <si>
    <t>(Lighting Rate - S$/kWh)</t>
  </si>
  <si>
    <t>Commercial Water Cost ($/L)</t>
  </si>
  <si>
    <t>Vol.of Water Used (L/kg)</t>
  </si>
  <si>
    <t>Lettuce</t>
  </si>
  <si>
    <t>Bok Choy</t>
  </si>
  <si>
    <t>Kale</t>
  </si>
  <si>
    <t>Kai Lan</t>
  </si>
  <si>
    <t>Chye Sim</t>
  </si>
  <si>
    <t>Outputs:</t>
  </si>
  <si>
    <t>SOLVER CONFIGURATION  (Data ▶ Solver)</t>
  </si>
  <si>
    <t>Total Net Profit</t>
  </si>
  <si>
    <t>Total Farm Yield (kg)</t>
  </si>
  <si>
    <t>Setting</t>
  </si>
  <si>
    <t>Cell Reference</t>
  </si>
  <si>
    <t>Operator</t>
  </si>
  <si>
    <t>Value / Reference</t>
  </si>
  <si>
    <t>Description</t>
  </si>
  <si>
    <t>SFA 30% Mandate Target (kg)</t>
  </si>
  <si>
    <t>Set Objective</t>
  </si>
  <si>
    <t>$C$3</t>
  </si>
  <si>
    <t>MAX</t>
  </si>
  <si>
    <t>—</t>
  </si>
  <si>
    <t>Maximise Total Net Profit</t>
  </si>
  <si>
    <t>Changing Variable Cells</t>
  </si>
  <si>
    <t>$C$9:$C$13</t>
  </si>
  <si>
    <t>Area allocated per crop (m²)</t>
  </si>
  <si>
    <t>Decision Model:</t>
  </si>
  <si>
    <t>Solving Method</t>
  </si>
  <si>
    <t>Simplex LP</t>
  </si>
  <si>
    <t>☑ Make Unconstrained Variables Non-Negative</t>
  </si>
  <si>
    <t>Area Allocated
(m²)</t>
  </si>
  <si>
    <t>Total Yield
(kg)</t>
  </si>
  <si>
    <t>Sellable Yield
(kg)</t>
  </si>
  <si>
    <t>Gross Revenue
(S$)</t>
  </si>
  <si>
    <t>Energy Cost
(S$)</t>
  </si>
  <si>
    <t>Water Cost
(S$)</t>
  </si>
  <si>
    <t>Net Margin
(S$)</t>
  </si>
  <si>
    <t>#</t>
  </si>
  <si>
    <t>Left Side (Cell)</t>
  </si>
  <si>
    <t>Right Side (Cell)</t>
  </si>
  <si>
    <t>Constraint Description</t>
  </si>
  <si>
    <t>$B$11</t>
  </si>
  <si>
    <t>&lt;=</t>
  </si>
  <si>
    <t>$B$27</t>
  </si>
  <si>
    <t>Space Scarcity — Total Area ≤ 1,000 m²</t>
  </si>
  <si>
    <t>$B$15</t>
  </si>
  <si>
    <t>&gt;=</t>
  </si>
  <si>
    <t>SFA 30% Mandate — Mandate Variance must be ≥ 0</t>
  </si>
  <si>
    <t>$D$4:$D$8</t>
  </si>
  <si>
    <t>$B$21:$B$25</t>
  </si>
  <si>
    <t>Contractual Yield Floors — Sellable Yield ≥ B2B minimums</t>
  </si>
  <si>
    <t>$C$21:$C$25</t>
  </si>
  <si>
    <t>Market Saturation Caps — Sellable Yield ≤ market demand limits</t>
  </si>
  <si>
    <t>Constraints:</t>
  </si>
  <si>
    <t>Total Allocated Area (m²)</t>
  </si>
  <si>
    <t>Bad Crop Rejection Rate (%)</t>
  </si>
  <si>
    <t>Mandate Variance (must be ≥ 0)</t>
  </si>
  <si>
    <t>Total Sellable Yield (kg)</t>
  </si>
  <si>
    <t>COR1305 | 3_Monte Carlo — Value-at-Risk (VaR) Simulation | Singapore 2026</t>
  </si>
  <si>
    <t>LP areas fixed from Solver result · 1,000 iterations · Lognormal price draws · Normal tariff draws · VaR at 5th percentile</t>
  </si>
  <si>
    <t>▌ STEP 1 — PRICE DISTRIBUTION PARAMETERS (Blue = input. Update Std Dev from your SingStat M213821 historical price data.)</t>
  </si>
  <si>
    <t>Mean Wholesale
Price (S$/kg)
[from LP solution]</t>
  </si>
  <si>
    <t>Std Dev
(S$/kg)
← UPDATE THIS</t>
  </si>
  <si>
    <t>Log-Mean μ
[auto-computed]</t>
  </si>
  <si>
    <t>Log-Sigma σ
[auto-computed]</t>
  </si>
  <si>
    <t>Notes</t>
  </si>
  <si>
    <t>SingStat M213821 / Data and Parameters col I</t>
  </si>
  <si>
    <t>▌ STEP 2 — TARIFF DISTRIBUTION PARAMETERS (Normal dist. Remove 2022 energy spike outliers before computing Std Dev.)</t>
  </si>
  <si>
    <t>Tariff Window</t>
  </si>
  <si>
    <t>Mean (S$/kWh)
[current Senoko rate]</t>
  </si>
  <si>
    <t>Std Dev (S$/kWh)
← UPDATE THIS</t>
  </si>
  <si>
    <t>Peak Tariff (7AM to 11PM)</t>
  </si>
  <si>
    <t>Senoko Energy quarterly tariff history (outliers removed)</t>
  </si>
  <si>
    <t>Off-Peak Tariff (11PM to 7AM)</t>
  </si>
  <si>
    <t>▌ STEP 3 — FIXED LP INPUTS (From Solver optimal solution — update if you re-run Solver with different constraints.)</t>
  </si>
  <si>
    <t>LP Sellable
Yield (kg)
[fixed from Solver]</t>
  </si>
  <si>
    <t>LP Total
Yield (kg)
[fixed from Solver]</t>
  </si>
  <si>
    <t>Energy Intensity
(kWh/kg)
[from Crop Params]</t>
  </si>
  <si>
    <t>Photoperiod
(hrs/day)
[from Crop Params]</t>
  </si>
  <si>
    <t>▌ STEP 4 — SIMULATION RESULTS (Press F9 to refresh 1,000 draws. Then copy col N, Paste Special &gt; Values to freeze.)</t>
  </si>
  <si>
    <t>Mean Net Profit (S$)</t>
  </si>
  <si>
    <t>Expected profit — should be close to LP base case of S$81,190</t>
  </si>
  <si>
    <t>Std Deviation (S$)</t>
  </si>
  <si>
    <t>Spread of outcomes — higher means more volatile farm economics</t>
  </si>
  <si>
    <t>VaR at 5th Percentile (S$)</t>
  </si>
  <si>
    <t>Worst 5% outcome. If NEGATIVE → revise crop mix or lighting schedule</t>
  </si>
  <si>
    <t>P (Net Profit &gt; 0)</t>
  </si>
  <si>
    <t>Probability farm stays profitable under price and tariff uncertainty</t>
  </si>
  <si>
    <t>Min Simulated Profit (S$)</t>
  </si>
  <si>
    <t>Absolute worst case across all 1,000 draws</t>
  </si>
  <si>
    <t>▌ STEP 5 — TORNADO CHART INPUTS (Correlation of each simulated input with Net Profit — biggest absolute value = top risk driver.)</t>
  </si>
  <si>
    <t>Risk Driver</t>
  </si>
  <si>
    <t>Correl. with
Net Profit</t>
  </si>
  <si>
    <t>Interpretation</t>
  </si>
  <si>
    <t>Lettuce Wholesale Price</t>
  </si>
  <si>
    <t>Strong positive — biggest revenue driver given large LP allocation</t>
  </si>
  <si>
    <t>Bok Choy Wholesale Price</t>
  </si>
  <si>
    <t>Positive — secondary revenue driver</t>
  </si>
  <si>
    <t>Kale Wholesale Price</t>
  </si>
  <si>
    <t>Near zero — LP allocates 0 m2 to Kale in current solution</t>
  </si>
  <si>
    <t>Kai Lan Wholesale Price</t>
  </si>
  <si>
    <t>Near zero — LP allocates 0 m2 to Kai Lan in current solution</t>
  </si>
  <si>
    <t>Chye Sim Wholesale Price</t>
  </si>
  <si>
    <t>Near zero — LP allocates 0 m2 to Chye Sim in current solution</t>
  </si>
  <si>
    <t>Peak Electricity Tariff</t>
  </si>
  <si>
    <t>Negative — higher peak tariff raises energy cost and cuts profit</t>
  </si>
  <si>
    <t>Off-Peak Electricity Tariff</t>
  </si>
  <si>
    <t>Negative — higher off-peak tariff raises energy cost and cuts profit</t>
  </si>
  <si>
    <t xml:space="preserve">▌ SIMULATION ENGINE — 1,000 iterations </t>
  </si>
  <si>
    <t>Iter #</t>
  </si>
  <si>
    <t>Sim Price
Lettuce
(S$/kg)</t>
  </si>
  <si>
    <t>Sim Price
Bok Choy
(S$/kg)</t>
  </si>
  <si>
    <t>Sim Price
Kale
(S$/kg)</t>
  </si>
  <si>
    <t>Sim Price
Kai Lan
(S$/kg)</t>
  </si>
  <si>
    <t>Sim Price
Chye Sim
(S$/kg)</t>
  </si>
  <si>
    <t>Sim Peak
Tariff
(S$/kWh)</t>
  </si>
  <si>
    <t>Sim Off-Pk
Tariff
(S$/kWh)</t>
  </si>
  <si>
    <t>Blended
Lettuce
(S$/kWh)</t>
  </si>
  <si>
    <t>Blended
Bok Choy
(S$/kWh)</t>
  </si>
  <si>
    <t>Blended
Kale
(S$/kWh)</t>
  </si>
  <si>
    <t>Blended
Kai Lan
(S$/kWh)</t>
  </si>
  <si>
    <t>Blended
Chye Sim
(S$/kWh)</t>
  </si>
  <si>
    <t>Sim Net
Profit (S$)</t>
  </si>
  <si>
    <t>Each row = one Monte Carlo draw. Revenue uses LP fixed yields × simulated price. Energy = LP fixed yield × energy intensity × blended TOU tariff. Net Profit = Revenue minus Energy.</t>
  </si>
  <si>
    <t>Documentation</t>
  </si>
  <si>
    <t>Variable Name</t>
  </si>
  <si>
    <t>Cell</t>
  </si>
  <si>
    <t>Value</t>
  </si>
  <si>
    <t>Rationale</t>
  </si>
  <si>
    <t>Verification Link</t>
  </si>
  <si>
    <t>I8</t>
  </si>
  <si>
    <t>=$Z$8/10000</t>
  </si>
  <si>
    <r>
      <t xml:space="preserve">Defines the </t>
    </r>
    <r>
      <rPr>
        <sz val="11"/>
        <color theme="1"/>
        <rFont val="Arial"/>
        <family val="2"/>
      </rPr>
      <t>$S\$/kWh$</t>
    </r>
    <r>
      <rPr>
        <sz val="11"/>
        <color theme="1"/>
        <rFont val="Aptos Narrow"/>
        <family val="2"/>
        <scheme val="minor"/>
      </rPr>
      <t xml:space="preserve"> cost during high-demand windows (7 AM – 11 PM).</t>
    </r>
  </si>
  <si>
    <t xml:space="preserve">https://www.senokoenergy.com/households/promotions/lifesavvy24 </t>
  </si>
  <si>
    <t>I9</t>
  </si>
  <si>
    <t>=$Z$9/10000</t>
  </si>
  <si>
    <r>
      <t xml:space="preserve">Defines the </t>
    </r>
    <r>
      <rPr>
        <sz val="11"/>
        <color theme="1"/>
        <rFont val="Arial"/>
        <family val="2"/>
      </rPr>
      <t>$S\$/kWh$</t>
    </r>
    <r>
      <rPr>
        <sz val="11"/>
        <color theme="1"/>
        <rFont val="Aptos Narrow"/>
        <family val="2"/>
        <scheme val="minor"/>
      </rPr>
      <t xml:space="preserve"> cost during low-demand windows (11 PM – 7 AM).</t>
    </r>
  </si>
  <si>
    <t>https://www.senokoenergy.com/households/promotions/lifesavvy25</t>
  </si>
  <si>
    <t>Scroll bar (Peak &amp; Off-Peak)</t>
  </si>
  <si>
    <t>J8:K9</t>
  </si>
  <si>
    <t>Cell link: $Z$8 (3685), $Z$9 (2005)</t>
  </si>
  <si>
    <r>
      <t>Interactive "What-If" Controls:</t>
    </r>
    <r>
      <rPr>
        <sz val="11"/>
        <color theme="1"/>
        <rFont val="Aptos Narrow"/>
        <family val="2"/>
        <scheme val="minor"/>
      </rPr>
      <t xml:space="preserve"> Enables real-time stress testing of electricity price volatility on farm margins.</t>
    </r>
  </si>
  <si>
    <t>N/A (Dashboard Control Feature)</t>
  </si>
  <si>
    <t>I10</t>
  </si>
  <si>
    <t>&lt;Input&gt; (0.69)</t>
  </si>
  <si>
    <t>Removes the 31% retail margin to convert supermarket prices to farm revenue.</t>
  </si>
  <si>
    <t xml:space="preserve">https://www.dbs.com/content/article/pdf/AIO/062025/250610_insights_modern_grocery_retail_supermarket_shake_up_or_savvy_break_up.pdf </t>
  </si>
  <si>
    <t>Variable</t>
  </si>
  <si>
    <t>Total Facility Shelf Area</t>
  </si>
  <si>
    <t>I11</t>
  </si>
  <si>
    <t>&lt;Input&gt; (1000)</t>
  </si>
  <si>
    <r>
      <t>Sets the hard physical limit for the farm's cultivation capacity (</t>
    </r>
    <r>
      <rPr>
        <sz val="11"/>
        <color theme="1"/>
        <rFont val="Arial"/>
        <family val="2"/>
      </rPr>
      <t>m^2</t>
    </r>
    <r>
      <rPr>
        <sz val="11"/>
        <color theme="1"/>
        <rFont val="Aptos Narrow"/>
        <family val="2"/>
        <scheme val="minor"/>
      </rPr>
      <t>).</t>
    </r>
  </si>
  <si>
    <t>COR1305 Project Proposal - System Scope</t>
  </si>
  <si>
    <t>Peak Tariff</t>
  </si>
  <si>
    <t>Strategic Insight Box</t>
  </si>
  <si>
    <t>H15:K20</t>
  </si>
  <si>
    <t>="STRATEGIC INSIGHT: The farm is currently space-constrained. 
Every additional m² of shelf area added to the facility would increase cycle profit by "&amp;TEXT('1_Optimization_Engine'!$A$26, "$#,##0.00")&amp;". We recommend prioritizing vertical expansion."</t>
  </si>
  <si>
    <r>
      <t>Management-Directed Storytelling:</t>
    </r>
    <r>
      <rPr>
        <sz val="11"/>
        <color theme="1"/>
        <rFont val="Aptos Narrow"/>
        <family val="2"/>
        <scheme val="minor"/>
      </rPr>
      <t xml:space="preserve"> Translates raw Sensitivity Report data into a plain-English business recommendation.</t>
    </r>
  </si>
  <si>
    <r>
      <t>N/A</t>
    </r>
    <r>
      <rPr>
        <sz val="11"/>
        <color theme="1"/>
        <rFont val="Aptos Narrow"/>
        <family val="2"/>
        <scheme val="minor"/>
      </rPr>
      <t xml:space="preserve"> (Dynamic Model Interpretation)</t>
    </r>
  </si>
  <si>
    <t>Off-Peak Tariff</t>
  </si>
  <si>
    <t>Visual Fill %</t>
  </si>
  <si>
    <t>Z11</t>
  </si>
  <si>
    <t>=IFERROR(MIN(1, ('1_Optimization_Engine'!C2 + '1_Optimization_Engine'!C3) / '1_Optimization_Engine'!C11), 0)</t>
  </si>
  <si>
    <t>Visual Gap %</t>
  </si>
  <si>
    <t>Z12</t>
  </si>
  <si>
    <t>=1 - Z11</t>
  </si>
  <si>
    <t>Total Shelf Area</t>
  </si>
  <si>
    <t>The Management Label</t>
  </si>
  <si>
    <t>Z13</t>
  </si>
  <si>
    <t>=IFERROR(TEXT(('1_Optimization_Engine'!C2 + '1_Optimization_Engine'!C3) / '1_Optimization_Engine'!C11, "0%") &amp; " Compliant", "0% Compliant")</t>
  </si>
  <si>
    <t>Item</t>
  </si>
  <si>
    <t>Total Gross Revenue</t>
  </si>
  <si>
    <t>Variable Energy Costs</t>
  </si>
  <si>
    <t>Total Gross Margin</t>
  </si>
  <si>
    <t>Crop Name</t>
  </si>
  <si>
    <t>Shelf Area Allocated (Ai)</t>
  </si>
  <si>
    <t>Total Yield (Yi x Ai)</t>
  </si>
  <si>
    <t>Sellable Yield</t>
  </si>
  <si>
    <t>Revenue (Pi x Sellable Yield)</t>
  </si>
  <si>
    <t>Water Cost</t>
  </si>
  <si>
    <t>Energy Cost</t>
  </si>
  <si>
    <t>Net Margin</t>
  </si>
  <si>
    <t>Parameter Name</t>
  </si>
  <si>
    <t>Cell Range</t>
  </si>
  <si>
    <t>Final Formula / Value</t>
  </si>
  <si>
    <t>Verification Source</t>
  </si>
  <si>
    <t>crop names</t>
  </si>
  <si>
    <t>A2:A6</t>
  </si>
  <si>
    <t>&lt;Input&gt; (Lettuce, Bok Choy, Kale, Kai Lan, Chye Sim)</t>
  </si>
  <si>
    <t>Representative mix of high-value leafy greens and local Singaporean staples.</t>
  </si>
  <si>
    <t xml:space="preserve">https://www.straitstimes.com/singapore/environment/worlds-tallest-indoor-vertical-farm-opens-in-singapore </t>
  </si>
  <si>
    <t>B2:B6</t>
  </si>
  <si>
    <t>&lt;Input&gt; (decision Variable)</t>
  </si>
  <si>
    <r>
      <t xml:space="preserve">The core "lever" used by the Solver to optimize the 1,000 </t>
    </r>
    <r>
      <rPr>
        <sz val="11"/>
        <color theme="1"/>
        <rFont val="Arial"/>
        <family val="2"/>
      </rPr>
      <t xml:space="preserve">m^2 </t>
    </r>
    <r>
      <rPr>
        <sz val="11"/>
        <color theme="1"/>
        <rFont val="Aptos Narrow"/>
        <family val="2"/>
        <scheme val="minor"/>
      </rPr>
      <t>footprint.</t>
    </r>
  </si>
  <si>
    <t>Solver Decision Variable</t>
  </si>
  <si>
    <t>Total Yield per Crop (kg)</t>
  </si>
  <si>
    <t>C2:C6</t>
  </si>
  <si>
    <t>=B2 * '2_Crop_Parameters'!$G7 (Autofill to C6)</t>
  </si>
  <si>
    <t>Calculates total biomass output based on biological yield and allocated area.</t>
  </si>
  <si>
    <t>Internal Calculation</t>
  </si>
  <si>
    <t>Gross Revenue (S$)</t>
  </si>
  <si>
    <t>D2:D6</t>
  </si>
  <si>
    <t>=C2 * '2_Crop_Parameters'!$L7 (Autofill to D6)</t>
  </si>
  <si>
    <r>
      <t>The Wholesale Fix:</t>
    </r>
    <r>
      <rPr>
        <sz val="11"/>
        <color theme="1"/>
        <rFont val="Aptos Narrow"/>
        <family val="2"/>
        <scheme val="minor"/>
      </rPr>
      <t xml:space="preserve"> Correctly applies the 0.69 multiplier to reflect farm-gate income.</t>
    </r>
  </si>
  <si>
    <t>Variable Energy Cost (S$)</t>
  </si>
  <si>
    <t>E2:E6</t>
  </si>
  <si>
    <t>=C2 * '2_Crop_Parameters'!$I7 * '2_Crop_Parameters'!$P7 (Autofill to E6)</t>
  </si>
  <si>
    <r>
      <t>Pure Lighting Engine:</t>
    </r>
    <r>
      <rPr>
        <sz val="11"/>
        <color theme="1"/>
        <rFont val="Aptos Narrow"/>
        <family val="2"/>
        <scheme val="minor"/>
      </rPr>
      <t xml:space="preserve"> Uses optimized TOU rates based on crop-specific photoperiods.</t>
    </r>
  </si>
  <si>
    <t>Unit Gross Margin (S$)</t>
  </si>
  <si>
    <t>F2:F6</t>
  </si>
  <si>
    <t>=D2 - E2 (Autofill to F6)</t>
  </si>
  <si>
    <t>The contribution profit per crop variety used for optimization rankings.</t>
  </si>
  <si>
    <t>Total Allocated Area (The Resource Constraint)</t>
  </si>
  <si>
    <t>C9</t>
  </si>
  <si>
    <t>=SUM($B$2:$B$6)</t>
  </si>
  <si>
    <r>
      <t>Constraint: Total Allocated Area (</t>
    </r>
    <r>
      <rPr>
        <sz val="11"/>
        <color theme="1"/>
        <rFont val="Arial"/>
        <family val="2"/>
      </rPr>
      <t>C9</t>
    </r>
    <r>
      <rPr>
        <sz val="11"/>
        <color theme="1"/>
        <rFont val="Aptos Narrow"/>
        <family val="2"/>
        <scheme val="minor"/>
      </rPr>
      <t>) must be &lt;= Total Shelf Area (E18) to reflect physical facility limits.</t>
    </r>
  </si>
  <si>
    <t>C10</t>
  </si>
  <si>
    <t>=SUM(C2:C6)</t>
  </si>
  <si>
    <t>The aggregate production weight of the entire vertical farm.</t>
  </si>
  <si>
    <t>SFA 30% Mandate Target</t>
  </si>
  <si>
    <t>C11</t>
  </si>
  <si>
    <t>=0.3 * C10</t>
  </si>
  <si>
    <t>Defines the minimum weight of staples required for food security compliance.</t>
  </si>
  <si>
    <t>Total Net Profit (The Objective Function)</t>
  </si>
  <si>
    <t>C12</t>
  </si>
  <si>
    <t>=SUM($F$2:$F$6)</t>
  </si>
  <si>
    <r>
      <t>Objective Function:</t>
    </r>
    <r>
      <rPr>
        <sz val="11"/>
        <color theme="1"/>
        <rFont val="Aptos Narrow"/>
        <family val="2"/>
        <scheme val="minor"/>
      </rPr>
      <t xml:space="preserve"> The primary figure the Solver aims to maximize.</t>
    </r>
  </si>
  <si>
    <t>Project Objective</t>
  </si>
  <si>
    <t>(The Linear Mandate)</t>
  </si>
  <si>
    <t>Mandate Variance (kg)</t>
  </si>
  <si>
    <t>C13</t>
  </si>
  <si>
    <t>=(C2 + C3) - C11</t>
  </si>
  <si>
    <r>
      <t>Linearity Guardrail:</t>
    </r>
    <r>
      <rPr>
        <sz val="11"/>
        <color theme="1"/>
        <rFont val="Aptos Narrow"/>
        <family val="2"/>
        <scheme val="minor"/>
      </rPr>
      <t xml:space="preserve"> Measures the delta between staple yield and the 30% target.</t>
    </r>
  </si>
  <si>
    <t>Mathematical Guardrail</t>
  </si>
  <si>
    <t>Bad Crop</t>
  </si>
  <si>
    <t>Contractual Floors (kg)</t>
  </si>
  <si>
    <t>B18:B22</t>
  </si>
  <si>
    <t>='2_Crop_Parameters'!$M7 (Autofill to B22)</t>
  </si>
  <si>
    <t>Mandatory B2B minimums</t>
  </si>
  <si>
    <t>Sellable yield</t>
  </si>
  <si>
    <t>Market Saturation Caps (kg)</t>
  </si>
  <si>
    <t>C18:C22</t>
  </si>
  <si>
    <t>='2_Crop_Parameters'!$N7 (Autofill to C22)</t>
  </si>
  <si>
    <t>Prevents overproduction beyond the verified output of Sustenir (1-tonne/mo).</t>
  </si>
  <si>
    <t xml:space="preserve">https://www.ecosperity.sg/content/dam/ecosperity-aem/en/reports/Ecosperity_Can-Companies-Do-Well-and-Do-Good_Jan2019.pdf.coredownload.pdf </t>
  </si>
  <si>
    <t>E18</t>
  </si>
  <si>
    <t>='0_Model_Dashboard'!I11</t>
  </si>
  <si>
    <r>
      <t>The Physical Anchor:</t>
    </r>
    <r>
      <rPr>
        <sz val="11"/>
        <color theme="1"/>
        <rFont val="Aptos Narrow"/>
        <family val="2"/>
        <scheme val="minor"/>
      </rPr>
      <t xml:space="preserve"> Mirrors the global facility limit for use in the Resource Constraint formula.</t>
    </r>
  </si>
  <si>
    <r>
      <t xml:space="preserve">Pulls directly from the Global Master Variable on </t>
    </r>
    <r>
      <rPr>
        <sz val="10"/>
        <color theme="1"/>
        <rFont val="Arial Unicode MS"/>
        <family val="2"/>
      </rPr>
      <t>0_Model_Dashboard</t>
    </r>
    <r>
      <rPr>
        <sz val="11"/>
        <color theme="1"/>
        <rFont val="Aptos Narrow"/>
        <family val="2"/>
        <scheme val="minor"/>
      </rPr>
      <t>.</t>
    </r>
  </si>
  <si>
    <t>Current Shadow Price of Space</t>
  </si>
  <si>
    <t>A26</t>
  </si>
  <si>
    <t>='Sensitivity Report 5'!E25</t>
  </si>
  <si>
    <r>
      <t>The Narrative Bridge:</t>
    </r>
    <r>
      <rPr>
        <sz val="11"/>
        <color theme="1"/>
        <rFont val="Aptos Narrow"/>
        <family val="2"/>
        <scheme val="minor"/>
      </rPr>
      <t xml:space="preserve"> Harvests the marginal value of </t>
    </r>
    <r>
      <rPr>
        <sz val="11"/>
        <color theme="1"/>
        <rFont val="Arial"/>
        <family val="2"/>
      </rPr>
      <t>1m^2</t>
    </r>
    <r>
      <rPr>
        <sz val="11"/>
        <color theme="1"/>
        <rFont val="Aptos Narrow"/>
        <family val="2"/>
        <scheme val="minor"/>
      </rPr>
      <t xml:space="preserve"> from the Solver output to feed the "Strategic Insight" box.</t>
    </r>
  </si>
  <si>
    <t>Manually updated from the most recent Solver Sensitivity Report.</t>
  </si>
  <si>
    <t>Constraint Table</t>
  </si>
  <si>
    <t>C14</t>
  </si>
  <si>
    <t>=&lt;Input&gt; (25%)</t>
  </si>
  <si>
    <t>https://www.verticalfarmdaily.com/article/9762505/tipburn-is-reduced-or-absent-and-crops-grown-under-our-system-maintain-freshness-longer/</t>
  </si>
  <si>
    <t>Min Floor (kg)</t>
  </si>
  <si>
    <t>Max Cap (kg)</t>
  </si>
  <si>
    <t>Excel Range</t>
  </si>
  <si>
    <t>Value / Formula</t>
  </si>
  <si>
    <t>Crop Variety Selection</t>
  </si>
  <si>
    <t>F7:F11</t>
  </si>
  <si>
    <t>G7:G11</t>
  </si>
  <si>
    <t>&lt;Input&gt; (9.88, 3.5, 1.85, 3.5, 3,5)</t>
  </si>
  <si>
    <t>Defines the mass harvested per shelf layer. Note: Lettuce/Kale use commercial-tier proxies.</t>
  </si>
  <si>
    <t xml:space="preserve">Lettuce/Bok Choy: https://www.davidpublisher.com/Public/uploads/Contribute/55f22c8e2a517.pdf Kai Lan/Chye Sim: https://crimsonpublishers.com/nrs/pdf/NRS.000858.pdf </t>
  </si>
  <si>
    <t>Production Cycle (Days)</t>
  </si>
  <si>
    <t>H7:H11</t>
  </si>
  <si>
    <t>&lt;Input&gt; (50, 45, 30, 35, 35)</t>
  </si>
  <si>
    <t>Time required from seedling transplant to final harvest for one full cycle.</t>
  </si>
  <si>
    <t>Min Production Floor (kg)</t>
  </si>
  <si>
    <t>Max Market Cap (kg)</t>
  </si>
  <si>
    <r>
      <t>Energy Consumption Intensity (</t>
    </r>
    <r>
      <rPr>
        <sz val="11"/>
        <color theme="1"/>
        <rFont val="Arial"/>
        <family val="2"/>
      </rPr>
      <t>kWh/kg</t>
    </r>
    <r>
      <rPr>
        <sz val="11"/>
        <color theme="1"/>
        <rFont val="Aptos Narrow"/>
        <family val="2"/>
        <scheme val="minor"/>
      </rPr>
      <t>)</t>
    </r>
  </si>
  <si>
    <t>I7:I11</t>
  </si>
  <si>
    <t>&lt;Input&gt; (7.51, 1.32, 7.51, 1.32, 1.32)</t>
  </si>
  <si>
    <t>Total electricity required per kg of output. Key driver of the EYT (Energy-Yield-Tariff) model.</t>
  </si>
  <si>
    <t xml:space="preserve">https://www.ecosperity.sg/content/dam/ecosperity-aem/en/reports/Environmental-Impact-of-Key-Food-Items-in-Singapore_Oct2019.pdf </t>
  </si>
  <si>
    <t>J7:J11</t>
  </si>
  <si>
    <t>&lt;Input&gt; (32, 19.75, 46, 19.75, 19.75)</t>
  </si>
  <si>
    <t>Standardizes 2026 supermarket shelf prices into a per-kilogram rate for comparison.</t>
  </si>
  <si>
    <t xml:space="preserve">Lettuce: https://www.straitstimes.com/singapore/environment/worlds-tallest-indoor-vertical-farm-opens-in-singapore Kale: https://www.fairprice.com.sg/brand/sustenir Kai Lan and Asian Greens Proxy: https://www.straitstimes.com/singapore/environment/worlds-tallest-indoor-vertical-farm-opens-in-singapore </t>
  </si>
  <si>
    <t>K7:K11</t>
  </si>
  <si>
    <t>='0_Model_Dashboard'!$I$10</t>
  </si>
  <si>
    <r>
      <t>The "Loblaw Proxy":</t>
    </r>
    <r>
      <rPr>
        <sz val="11"/>
        <color theme="1"/>
        <rFont val="Aptos Narrow"/>
        <family val="2"/>
        <scheme val="minor"/>
      </rPr>
      <t xml:space="preserve"> Automatically pulls the 0.69 multiplier to remove the 31% retail margin.</t>
    </r>
  </si>
  <si>
    <t>L7:L11</t>
  </si>
  <si>
    <t>=J7 * K7 (Autofill to L11)</t>
  </si>
  <si>
    <r>
      <t>Minimum Production Floor (</t>
    </r>
    <r>
      <rPr>
        <sz val="11"/>
        <color theme="1"/>
        <rFont val="Arial"/>
        <family val="2"/>
      </rPr>
      <t>kg</t>
    </r>
    <r>
      <rPr>
        <sz val="11"/>
        <color theme="1"/>
        <rFont val="Aptos Narrow"/>
        <family val="2"/>
        <scheme val="minor"/>
      </rPr>
      <t>)</t>
    </r>
  </si>
  <si>
    <t>M7:M11</t>
  </si>
  <si>
    <t>&lt;Input&gt; (3200, 500, 0, 0, 0)</t>
  </si>
  <si>
    <t>Represents B2B contractual obligations and "Built-to-Order" commercial minimums.</t>
  </si>
  <si>
    <t>Maximum Market Capacity (kg)</t>
  </si>
  <si>
    <t>N7:N11</t>
  </si>
  <si>
    <t>&lt;Input&gt; (3205, 999999, 1000, 500, 500)</t>
  </si>
  <si>
    <t>Prevents oversupply by capping production at known facility or market demand limits.</t>
  </si>
  <si>
    <t>Optimal Photoperiod (h)</t>
  </si>
  <si>
    <t>O7:O11</t>
  </si>
  <si>
    <t>&lt;Input&gt; (16 (Rows 7-9) / 10 (Rows 10-11))</t>
  </si>
  <si>
    <t>Crop-specific light requirement. Key for Time-of-Use (TOU) electricity optimization.</t>
  </si>
  <si>
    <t>Optimal Lighting Tariff (S$/kWh)</t>
  </si>
  <si>
    <t>P7:P11</t>
  </si>
  <si>
    <t>=((MIN(O7, 8) * '0_Model_Dashboard'!$I$9) + (MAX(O7-8, 0) * '0_Model_Dashboard'!$I$8)) / O7 (Autofill to N11)</t>
  </si>
  <si>
    <r>
      <t>The Decision Engine:</t>
    </r>
    <r>
      <rPr>
        <sz val="11"/>
        <color theme="1"/>
        <rFont val="Aptos Narrow"/>
        <family val="2"/>
        <scheme val="minor"/>
      </rPr>
      <t xml:space="preserve"> Automatically maps lighting to the cheapest Senoko grid hours.</t>
    </r>
  </si>
  <si>
    <t>C24:G24</t>
  </si>
  <si>
    <t>&lt;Input&gt; (3.24)</t>
  </si>
  <si>
    <t>https://www.pub.gov.sg/Resources/News-Room/PressReleases/2023/09/Water-price-to-rise-from-April-2024-Government-to-provide-support?utm_source=chatgpt.com</t>
  </si>
  <si>
    <t>Total Vol.of Water used per crop</t>
  </si>
  <si>
    <t>Microsoft Excel 16.0 Sensitivity Report</t>
  </si>
  <si>
    <t>Worksheet: [Spreadsheet Modelling Group 7.xlsm]1_Optimization_Engine</t>
  </si>
  <si>
    <t>Report Created: 25/3/2026 2:05:01 am</t>
  </si>
  <si>
    <t>Variable Cells</t>
  </si>
  <si>
    <t>Final</t>
  </si>
  <si>
    <t>Reduced</t>
  </si>
  <si>
    <t>Objective</t>
  </si>
  <si>
    <t>Allowable</t>
  </si>
  <si>
    <t>Name</t>
  </si>
  <si>
    <t>Cost</t>
  </si>
  <si>
    <t>Coefficient</t>
  </si>
  <si>
    <t>Increase</t>
  </si>
  <si>
    <t>Decrease</t>
  </si>
  <si>
    <t>$B$2</t>
  </si>
  <si>
    <t>Lettuce Shelf Area Allocated (Ai)</t>
  </si>
  <si>
    <t>$B$3</t>
  </si>
  <si>
    <t>Bok Choy Shelf Area Allocated (Ai)</t>
  </si>
  <si>
    <t>$B$4</t>
  </si>
  <si>
    <t>Kale Shelf Area Allocated (Ai)</t>
  </si>
  <si>
    <t>$B$5</t>
  </si>
  <si>
    <t>Kai Lan Shelf Area Allocated (Ai)</t>
  </si>
  <si>
    <t>$B$6</t>
  </si>
  <si>
    <t>Chye Sim Shelf Area Allocated (Ai)</t>
  </si>
  <si>
    <t>Constraints</t>
  </si>
  <si>
    <t>Shadow</t>
  </si>
  <si>
    <t>Constraint</t>
  </si>
  <si>
    <t>Price</t>
  </si>
  <si>
    <t>R.H. Side</t>
  </si>
  <si>
    <t>$C$11</t>
  </si>
  <si>
    <t>SFA 30% Mandate Target Total Yield (Yi x Ai)</t>
  </si>
  <si>
    <t>$C$13</t>
  </si>
  <si>
    <t>(The Linear Mandate) Total Yield (Yi x Ai)</t>
  </si>
  <si>
    <t>$C$2</t>
  </si>
  <si>
    <t>Lettuce Total Yield (Yi x Ai)</t>
  </si>
  <si>
    <t>Bok Choy Total Yield (Yi x Ai)</t>
  </si>
  <si>
    <t>$C$4</t>
  </si>
  <si>
    <t>Kale Total Yield (Yi x Ai)</t>
  </si>
  <si>
    <t>$C$5</t>
  </si>
  <si>
    <t>Kai Lan Total Yield (Yi x Ai)</t>
  </si>
  <si>
    <t>$C$6</t>
  </si>
  <si>
    <t>Chye Sim Total Yield (Yi x Ai)</t>
  </si>
  <si>
    <t>$C$9</t>
  </si>
  <si>
    <t>Total Allocated Area (The Resource Constraint) Total Yield (Yi x Ai)</t>
  </si>
  <si>
    <t>COR1305  |  VERTICAL FARM ENERGY-YIELD-TARIFF (EYT) OPTIMISER  |  Singapore 2026</t>
  </si>
  <si>
    <t>Value (S$)</t>
  </si>
  <si>
    <t>Energy Costs</t>
  </si>
  <si>
    <t>Simplex LP  ·  Objective: Maximise Net Profit  ·  5 Crops · 1,000 m² Facility  ·  Bad Crop Rejection: 25%  ·  SFA 30% Staple Mandate</t>
  </si>
  <si>
    <t>▌ MASTER VARIABLES</t>
  </si>
  <si>
    <t xml:space="preserve"> =$Z$8/10000</t>
  </si>
  <si>
    <t>S$/kWh cost during high-demand windows (7AM–11PM).</t>
  </si>
  <si>
    <t>https://www.senokoenergy.com/households/promotions/lifesavvy24</t>
  </si>
  <si>
    <t xml:space="preserve"> =$Z$9/10000</t>
  </si>
  <si>
    <t>S$/kWh cost during low-demand windows (11PM–7AM).</t>
  </si>
  <si>
    <t>← Scroll Bar link (Peak Tariff)</t>
  </si>
  <si>
    <t>Scroll Bars (Peak &amp; Off-Peak)</t>
  </si>
  <si>
    <t>Interactive What-If controls for real-time electricity price stress-testing.</t>
  </si>
  <si>
    <t>N/A — Dashboard Control</t>
  </si>
  <si>
    <t>← Scroll Bar link (Off-Peak Tariff)</t>
  </si>
  <si>
    <t>Input: 0.69</t>
  </si>
  <si>
    <t>https://www.dbs.com/content/article/pdf/AIO/062025/250610_insights_modern_grocery_retail_supermarket_shake_up_or_savvy_break_up.pdf</t>
  </si>
  <si>
    <t>Input: 1000</t>
  </si>
  <si>
    <t>Sets the hard physical limit for the farm's cultivation capacity (m²).</t>
  </si>
  <si>
    <t>COR1305 Project Proposal</t>
  </si>
  <si>
    <t>Gauge: Compliant</t>
  </si>
  <si>
    <t>⚙  ADD SLIDERS: Developer ▶ Insert ▶ Form Controls ▶ Scroll Bar
Link to Z8 (Peak) and Z9 (Off-Peak). Min=0, Max=5000, Step=5.</t>
  </si>
  <si>
    <t>TEXT formula linking to shadow price in engine C28</t>
  </si>
  <si>
    <t>Translates raw Sensitivity Report data into a plain-English business recommendation.</t>
  </si>
  <si>
    <t>N/A — Dynamic Model Interpretation</t>
  </si>
  <si>
    <t>Gauge: Remaining</t>
  </si>
  <si>
    <t>Visual Fill % (Mandate Gauge)</t>
  </si>
  <si>
    <t xml:space="preserve"> =IFERROR(MIN(1,(D3+D4)/C12),0)</t>
  </si>
  <si>
    <t>Drives the green segment of the compliance doughnut chart.</t>
  </si>
  <si>
    <t>Gauge: Label</t>
  </si>
  <si>
    <t>Visual Gap % (Mandate Gauge)</t>
  </si>
  <si>
    <t xml:space="preserve"> =1-Z11</t>
  </si>
  <si>
    <t>Drives the grey segment of the compliance doughnut chart.</t>
  </si>
  <si>
    <t>Management Label</t>
  </si>
  <si>
    <t xml:space="preserve"> =IFERROR(TEXT((D3+D4)/C12,"0%")&amp;" Compliant","0% Compliant")</t>
  </si>
  <si>
    <t>Populates the compliance % label displayed in the centre of the gauge.</t>
  </si>
  <si>
    <t>▌ CROP ALLOCATION SUMMARY</t>
  </si>
  <si>
    <t>Area (m²)</t>
  </si>
  <si>
    <t>Sellable Yield (kg)</t>
  </si>
  <si>
    <t>Revenue (S$)</t>
  </si>
  <si>
    <t>Net Margin (S$)</t>
  </si>
  <si>
    <t>TOTAL</t>
  </si>
  <si>
    <t>COR1305  |  LINEAR PROGRAMMING OPTIMIZATION ENGINE  —  Simplex LP</t>
  </si>
  <si>
    <t>Formula / Value</t>
  </si>
  <si>
    <t>Crop Names</t>
  </si>
  <si>
    <t>A3:A7</t>
  </si>
  <si>
    <t>Input: Lettuce, Bok Choy, Kale, Kai Lan, Chye Sim</t>
  </si>
  <si>
    <t>https://www.straitstimes.com/singapore/environment/worlds-tallest-indoor-vertical-farm-opens-in-singapore</t>
  </si>
  <si>
    <t>B3:B7</t>
  </si>
  <si>
    <t>Input — Solver Decision Variable</t>
  </si>
  <si>
    <t>The core lever used by Solver to optimise the 1,000 m² footprint.</t>
  </si>
  <si>
    <t>Total Yield (kg)</t>
  </si>
  <si>
    <t>C3:C7</t>
  </si>
  <si>
    <t xml:space="preserve"> =B3 * '2_Crop_Parameters'!$G7</t>
  </si>
  <si>
    <t>D3:D7</t>
  </si>
  <si>
    <t xml:space="preserve"> =C3 * (1 - Bad Crop %)</t>
  </si>
  <si>
    <t>Applies the 25% bad-crop rejection rate to get marketable output.</t>
  </si>
  <si>
    <t>https://www.verticalfarmdaily.com/article/9762505/tipburn-is-reduced-or-absent</t>
  </si>
  <si>
    <t>E3:E7</t>
  </si>
  <si>
    <t xml:space="preserve"> =D3 * '2_Crop_Parameters'!$L7</t>
  </si>
  <si>
    <t>Revenue from sellable yield at farm-gate wholesale price.</t>
  </si>
  <si>
    <t>Energy Cost (S$)</t>
  </si>
  <si>
    <t>F3:F7</t>
  </si>
  <si>
    <t xml:space="preserve"> =C3 * '2_Crop_Parameters'!$I7 * '2_Crop_Parameters'!$P7</t>
  </si>
  <si>
    <t>Uses total yield (energy consumed regardless of crop quality/waste).</t>
  </si>
  <si>
    <t>G3:G7</t>
  </si>
  <si>
    <t xml:space="preserve"> =E3 - F3</t>
  </si>
  <si>
    <t>Contribution profit per crop variety; the value Solver maximises in aggregate.</t>
  </si>
  <si>
    <t>AGGREGATES, OBJECTIVE &amp; CONSTRAINTS</t>
  </si>
  <si>
    <t>Total Allocated Area</t>
  </si>
  <si>
    <t xml:space="preserve"> =SUM($B$3:$B$7)</t>
  </si>
  <si>
    <t>Must be &lt;= Total Shelf Area (C25) to reflect physical facility limits.</t>
  </si>
  <si>
    <t xml:space="preserve"> =SUM(C3:C7)</t>
  </si>
  <si>
    <t>Aggregate production weight of the entire vertical farm.</t>
  </si>
  <si>
    <t xml:space="preserve"> =0.3 * C11</t>
  </si>
  <si>
    <t>Minimum weight of staples required for SFA food security compliance.</t>
  </si>
  <si>
    <t>Total Net Profit — Objective</t>
  </si>
  <si>
    <t xml:space="preserve"> =SUM($G$3:$G$7)</t>
  </si>
  <si>
    <t>Primary figure the Solver maximises.</t>
  </si>
  <si>
    <t>▶  OBJECTIVE: Total Net Profit (S$)</t>
  </si>
  <si>
    <t>Mandate Variance</t>
  </si>
  <si>
    <t xml:space="preserve"> =(D3+D4) - C12</t>
  </si>
  <si>
    <t>Linearity guardrail: delta between staple sellable yield and the 30% target.</t>
  </si>
  <si>
    <t>Bad Crop Rejection Rate</t>
  </si>
  <si>
    <t>C15</t>
  </si>
  <si>
    <t>Input: 25%</t>
  </si>
  <si>
    <t>Industry tipburn rate for vertical farms. Applied to total yield to get sellable output.</t>
  </si>
  <si>
    <t>B19:B23</t>
  </si>
  <si>
    <t xml:space="preserve"> ='2_Crop_Parameters'!$M7</t>
  </si>
  <si>
    <t>Mandatory B2B minimum yields per cycle.</t>
  </si>
  <si>
    <t>Market Caps (kg)</t>
  </si>
  <si>
    <t>C19:C23</t>
  </si>
  <si>
    <t xml:space="preserve"> ='2_Crop_Parameters'!$N7</t>
  </si>
  <si>
    <t>Prevents overproduction beyond verified market demand.</t>
  </si>
  <si>
    <t>https://www.ecosperity.sg/content/dam/ecosperity-aem/en/reports/Ecosperity_Can-Companies-Do-Well-and-Do-Good_Jan2019.pdf.coredownload.pdf</t>
  </si>
  <si>
    <t>COMMERCIAL BOUNDARIES  (Yield Floors &amp; Market Caps)</t>
  </si>
  <si>
    <t>Total Shelf Area Anchor</t>
  </si>
  <si>
    <t>C25</t>
  </si>
  <si>
    <t xml:space="preserve"> ='0_Model_Dashboard'!I11</t>
  </si>
  <si>
    <t>Mirrors the global facility limit for use in the Space constraint.</t>
  </si>
  <si>
    <t>Pulls from 0_Model_Dashboard</t>
  </si>
  <si>
    <t>B2B Floor
(kg)</t>
  </si>
  <si>
    <t>Market Cap
(kg)</t>
  </si>
  <si>
    <t>vs Floor
(gap)</t>
  </si>
  <si>
    <t>vs Cap
(headroom)</t>
  </si>
  <si>
    <t>Shadow Price of Space</t>
  </si>
  <si>
    <t>C28</t>
  </si>
  <si>
    <t xml:space="preserve"> ='Sensitivity Report X'!E25</t>
  </si>
  <si>
    <t>Marginal value of 1m² — manually updated from most recent Solver Sensitivity Report.</t>
  </si>
  <si>
    <t>Manually updated from Solver output</t>
  </si>
  <si>
    <t>Total Shelf Area Anchor (m²)</t>
  </si>
  <si>
    <t>SHADOW PRICE — Link to Sensitivity Report after first Solver run</t>
  </si>
  <si>
    <t>Current Shadow Price of Space (S$/m²)</t>
  </si>
  <si>
    <t>⚠  Link manually to 'Sensitivity Report X'!E25 after each Solver run</t>
  </si>
  <si>
    <t>SOLVER CONFIGURATION  (Data ▶ Solver)
Set Objective:  $C$13   |   To: MAX   |   By Changing Variable Cells: $B$3:$B$7
Subject to the Constraints:
  1.  $C$10  &lt;=  $C$25              [ Space Scarcity — Total Area ≤ 1,000 m² ]
  2.  $C$14  &gt;=  0                   [ SFA 30% Mandate (linear) ]
  3.  $D$3:$D$7  &gt;=  $B$19:$B$23    [ Contractual Yield Floors (on Sellable Yield) ]
  4.  $D$3:$D$7  &lt;=  $C$19:$C$23    [ Market Saturation Caps (on Sellable Yield) ]
Solving Method:  Simplex LP   |   ☑ Make Unconstrained Variables Non-Negative
After solving: Keep Solution ▶ select 'Sensitivity Report' ▶ link shadow price to C28.</t>
  </si>
  <si>
    <t>COR1305  |  CROP BIOLOGICAL &amp; ECONOMIC PARAMETERS DATABASE  |  Singapore 2026</t>
  </si>
  <si>
    <t>Crop Variety</t>
  </si>
  <si>
    <t>Source: ACE / NEA / Senoko Energy / PUB Verified Benchmarks  ·  Water Cost removed (negligible impact on margin)  ·  FY2026</t>
  </si>
  <si>
    <t>Biological Yield (kg/m²/cycle)</t>
  </si>
  <si>
    <t>Input: 9.88, 3.5, 1.85, 3.5, 3.5</t>
  </si>
  <si>
    <t>Defines the mass harvested per shelf layer. Lettuce/Kale use commercial-tier proxies.</t>
  </si>
  <si>
    <t>https://www.davidpublisher.com/Public/uploads/Contribute/55f22c8e2a517.pdf</t>
  </si>
  <si>
    <t>Input: 50, 45, 30, 35, 35</t>
  </si>
  <si>
    <t>Energy Consumption Intensity (kWh/kg)</t>
  </si>
  <si>
    <t>Input: 7.51, 1.32, 7.51, 1.32, 1.32</t>
  </si>
  <si>
    <t>Total electricity required per kg of output. Key driver of the EYT model.</t>
  </si>
  <si>
    <t>https://www.ecosperity.sg/content/dam/ecosperity-aem/en/reports/Environmental-Impact-of-Key-Food-Items-in-Singapore_Oct2019.pdf</t>
  </si>
  <si>
    <t>Crop
Variety</t>
  </si>
  <si>
    <t>Biological Yield
(kg/m²/cycle)</t>
  </si>
  <si>
    <t>Cycle Length
(Days)</t>
  </si>
  <si>
    <t>Energy Intensity
(kWh/kg)</t>
  </si>
  <si>
    <t>Retail Benchmark
(S$/kg)</t>
  </si>
  <si>
    <t>Retail-to-Wholesale
Multiplier</t>
  </si>
  <si>
    <t>Wholesale Price
(S$/kg)</t>
  </si>
  <si>
    <t>Min Production
Floor (kg)</t>
  </si>
  <si>
    <t>Max Market
Cap (kg)</t>
  </si>
  <si>
    <t>Photoperiod
(h/day)</t>
  </si>
  <si>
    <t>Optimal Lighting
Tariff (S$/kWh)</t>
  </si>
  <si>
    <t>Input: 32, 19.75, 46, 19.75, 19.75</t>
  </si>
  <si>
    <t>Standardises 2026 supermarket shelf prices into a per-kilogram rate.</t>
  </si>
  <si>
    <t>https://www.fairprice.com.sg/brand/sustenir</t>
  </si>
  <si>
    <t xml:space="preserve"> ='0_Model_Dashboard'!$I$10</t>
  </si>
  <si>
    <t>Loblaw Proxy: Pulls 0.69 multiplier to remove the 31% retail margin.</t>
  </si>
  <si>
    <t xml:space="preserve"> =J7*K7 (autofill to L11)</t>
  </si>
  <si>
    <t>Farm-gate price after applying the retail-to-wholesale multiplier.</t>
  </si>
  <si>
    <t>Minimum Production Floor (kg)</t>
  </si>
  <si>
    <t>Input: 3200, 500, 0, 0, 0</t>
  </si>
  <si>
    <t>Represents B2B contractual obligations and Built-to-Order commercial minimums.</t>
  </si>
  <si>
    <t>Input: 3205, 999999, 1000, 500, 500</t>
  </si>
  <si>
    <t>Input: 16 (Rows 7–9) / 10 (Rows 10–11)</t>
  </si>
  <si>
    <t>Crop-specific light requirement. Key for Time-of-Use electricity optimisation.</t>
  </si>
  <si>
    <t>https://crimsonpublishers.com/nrs/pdf/NRS.000858.pdf</t>
  </si>
  <si>
    <t xml:space="preserve"> =((MIN(O7,8)*Off-Peak)+(MAX(O7-8,0)*Peak))/O7</t>
  </si>
  <si>
    <t>Decision Engine: Maps lighting to cheapest Senoko grid hours automatically.</t>
  </si>
  <si>
    <t>CROP PARAMETER COMPARISON  (Transposed View)</t>
  </si>
  <si>
    <t>Parameter</t>
  </si>
  <si>
    <t>Photoperiod (Hours)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</si>
</sst>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S$&quot;#,##0.00"/>
    <numFmt numFmtId="165" formatCode="&quot;S$&quot;#,##0.0000"/>
    <numFmt numFmtId="166" formatCode="#,##0;\(#,##0\);\-"/>
    <numFmt numFmtId="167" formatCode="0.0000"/>
    <numFmt numFmtId="168" formatCode="&quot;S$&quot;#,##0"/>
    <numFmt numFmtId="169" formatCode="&quot;$&quot;#,##0.00"/>
  </numFmts>
  <fonts count="6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1F1F1F"/>
      <name val="Google Sans Text"/>
      <family val="2"/>
      <charset val="1"/>
    </font>
    <font>
      <sz val="11"/>
      <color rgb="FF1F1F1F"/>
      <name val="Google Sans Text"/>
    </font>
    <font>
      <sz val="8"/>
      <name val="Aptos Narrow"/>
      <family val="2"/>
      <scheme val="minor"/>
    </font>
    <font>
      <b/>
      <sz val="11"/>
      <color indexed="18"/>
      <name val="Aptos Narrow"/>
      <family val="2"/>
      <scheme val="minor"/>
    </font>
    <font>
      <sz val="11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1"/>
      <color theme="1"/>
      <name val="Arial"/>
      <family val="2"/>
    </font>
    <font>
      <sz val="14"/>
      <color theme="1"/>
      <name val="Calibri"/>
      <family val="2"/>
    </font>
    <font>
      <sz val="10"/>
      <color theme="1"/>
      <name val="Arial Unicode MS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charset val="1"/>
    </font>
    <font>
      <b/>
      <sz val="16"/>
      <color rgb="FFFFFFFF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rgb="FFAAAAAA"/>
      <name val="Arial"/>
      <family val="2"/>
    </font>
    <font>
      <b/>
      <sz val="11"/>
      <color rgb="FFFFFFFF"/>
      <name val="Arial"/>
      <family val="2"/>
    </font>
    <font>
      <b/>
      <sz val="9"/>
      <color rgb="FFFFFFFF"/>
      <name val="Arial"/>
      <family val="2"/>
    </font>
    <font>
      <sz val="8"/>
      <color rgb="FF1C1C1C"/>
      <name val="Arial"/>
      <family val="2"/>
    </font>
    <font>
      <sz val="8"/>
      <color rgb="FF1565C0"/>
      <name val="Arial"/>
      <family val="2"/>
    </font>
    <font>
      <sz val="10"/>
      <name val="Arial"/>
      <family val="2"/>
    </font>
    <font>
      <b/>
      <sz val="11"/>
      <color rgb="FF008000"/>
      <name val="Arial"/>
      <family val="2"/>
    </font>
    <font>
      <i/>
      <sz val="8"/>
      <color rgb="FFAAAAAA"/>
      <name val="Arial"/>
      <family val="2"/>
    </font>
    <font>
      <sz val="8"/>
      <color rgb="FFFFFFFF"/>
      <name val="Arial"/>
      <family val="2"/>
    </font>
    <font>
      <b/>
      <sz val="11"/>
      <color rgb="FF0000FF"/>
      <name val="Arial"/>
      <family val="2"/>
    </font>
    <font>
      <sz val="8"/>
      <color rgb="FFAAAAAA"/>
      <name val="Arial"/>
      <family val="2"/>
    </font>
    <font>
      <i/>
      <sz val="8"/>
      <color rgb="FF555555"/>
      <name val="Arial"/>
      <family val="2"/>
    </font>
    <font>
      <i/>
      <sz val="10"/>
      <color rgb="FF1A3C34"/>
      <name val="Arial"/>
      <family val="2"/>
    </font>
    <font>
      <b/>
      <sz val="14"/>
      <color rgb="FF2E7D52"/>
      <name val="Arial"/>
      <family val="2"/>
    </font>
    <font>
      <b/>
      <sz val="10"/>
      <name val="Arial"/>
      <family val="2"/>
    </font>
    <font>
      <sz val="10"/>
      <color rgb="FF008000"/>
      <name val="Arial"/>
      <family val="2"/>
    </font>
    <font>
      <b/>
      <sz val="10"/>
      <color rgb="FFFFFFFF"/>
      <name val="Arial"/>
      <family val="2"/>
    </font>
    <font>
      <b/>
      <sz val="13"/>
      <color rgb="FFFFFFFF"/>
      <name val="Arial"/>
      <family val="2"/>
    </font>
    <font>
      <sz val="10"/>
      <color rgb="FF1C1C1C"/>
      <name val="Arial"/>
      <family val="2"/>
    </font>
    <font>
      <b/>
      <sz val="11"/>
      <color rgb="FF1A3C34"/>
      <name val="Arial"/>
      <family val="2"/>
    </font>
    <font>
      <i/>
      <sz val="9"/>
      <color rgb="FFB71C1C"/>
      <name val="Arial"/>
      <family val="2"/>
    </font>
    <font>
      <sz val="9"/>
      <name val="Courier New"/>
      <family val="3"/>
    </font>
    <font>
      <b/>
      <sz val="14"/>
      <color rgb="FFFFFFFF"/>
      <name val="Arial"/>
      <family val="2"/>
    </font>
    <font>
      <sz val="8"/>
      <color rgb="FF555555"/>
      <name val="Arial"/>
      <family val="2"/>
    </font>
    <font>
      <sz val="10"/>
      <color rgb="FF0000FF"/>
      <name val="Arial"/>
      <family val="2"/>
    </font>
    <font>
      <i/>
      <sz val="9"/>
      <color rgb="FF555555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9"/>
      <color rgb="FF666666"/>
      <name val="Arial"/>
      <family val="2"/>
    </font>
    <font>
      <b/>
      <sz val="10"/>
      <color rgb="FF375623"/>
      <name val="Arial"/>
      <family val="2"/>
    </font>
    <font>
      <b/>
      <sz val="11"/>
      <color rgb="FF375623"/>
      <name val="Arial"/>
      <family val="2"/>
    </font>
    <font>
      <i/>
      <sz val="9"/>
      <color rgb="FF444444"/>
      <name val="Arial"/>
      <family val="2"/>
    </font>
    <font>
      <b/>
      <sz val="10"/>
      <color rgb="FF333333"/>
      <name val="Arial"/>
      <family val="2"/>
    </font>
    <font>
      <b/>
      <sz val="11"/>
      <color rgb="FF333333"/>
      <name val="Arial"/>
      <family val="2"/>
    </font>
    <font>
      <b/>
      <sz val="10"/>
      <color rgb="FF833C00"/>
      <name val="Arial"/>
      <family val="2"/>
    </font>
    <font>
      <b/>
      <sz val="11"/>
      <color rgb="FF833C00"/>
      <name val="Arial"/>
      <family val="2"/>
    </font>
    <font>
      <b/>
      <sz val="8"/>
      <color rgb="FFFFFFFF"/>
      <name val="Arial"/>
      <family val="2"/>
    </font>
    <font>
      <i/>
      <sz val="8"/>
      <color rgb="FF444444"/>
      <name val="Arial"/>
      <family val="2"/>
    </font>
    <font>
      <sz val="8"/>
      <color rgb="FF999999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</font>
    <font>
      <b/>
      <sz val="15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theme="1"/>
      <name val="Arial"/>
      <family val="2"/>
      <charset val="1"/>
    </font>
    <font>
      <sz val="11"/>
      <color rgb="FF0000FF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1A3C34"/>
        <bgColor rgb="FF37474F"/>
      </patternFill>
    </fill>
    <fill>
      <patternFill patternType="solid">
        <fgColor rgb="FF111111"/>
        <bgColor rgb="FF1C1C1C"/>
      </patternFill>
    </fill>
    <fill>
      <patternFill patternType="solid">
        <fgColor rgb="FF2E7D52"/>
        <bgColor rgb="FF008080"/>
      </patternFill>
    </fill>
    <fill>
      <patternFill patternType="solid">
        <fgColor rgb="FF455A64"/>
        <bgColor rgb="FF555555"/>
      </patternFill>
    </fill>
    <fill>
      <patternFill patternType="solid">
        <fgColor rgb="FFFAFAFA"/>
        <bgColor rgb="FFF9F9F9"/>
      </patternFill>
    </fill>
    <fill>
      <patternFill patternType="solid">
        <fgColor rgb="FFF5F5F5"/>
        <bgColor rgb="FFF9F9F9"/>
      </patternFill>
    </fill>
    <fill>
      <patternFill patternType="solid">
        <fgColor rgb="FFFFF9C4"/>
        <bgColor rgb="FFF5F5F5"/>
      </patternFill>
    </fill>
    <fill>
      <patternFill patternType="solid">
        <fgColor rgb="FFFFFFFF"/>
        <bgColor rgb="FFFAFAFA"/>
      </patternFill>
    </fill>
    <fill>
      <patternFill patternType="solid">
        <fgColor rgb="FFECEFF1"/>
        <bgColor rgb="FFE8F5E9"/>
      </patternFill>
    </fill>
    <fill>
      <patternFill patternType="solid">
        <fgColor rgb="FFE8F5E9"/>
        <bgColor rgb="FFECEFF1"/>
      </patternFill>
    </fill>
    <fill>
      <patternFill patternType="solid">
        <fgColor rgb="FF37474F"/>
        <bgColor rgb="FF455A64"/>
      </patternFill>
    </fill>
    <fill>
      <patternFill patternType="solid">
        <fgColor rgb="FFD6EFE1"/>
        <bgColor rgb="FFE8F5E9"/>
      </patternFill>
    </fill>
    <fill>
      <patternFill patternType="solid">
        <fgColor rgb="FFC8E6C9"/>
        <bgColor rgb="FFD6EFE1"/>
      </patternFill>
    </fill>
    <fill>
      <patternFill patternType="solid">
        <fgColor rgb="FFFFEBEE"/>
        <bgColor rgb="FFF5F5F5"/>
      </patternFill>
    </fill>
    <fill>
      <patternFill patternType="solid">
        <fgColor rgb="FF1F386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rgb="FFF9F9F9"/>
      </patternFill>
    </fill>
    <fill>
      <patternFill patternType="solid">
        <fgColor theme="6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rgb="FF1F1F1F"/>
      </left>
      <right style="thin">
        <color rgb="FF1F1F1F"/>
      </right>
      <top style="thin">
        <color rgb="FF1F1F1F"/>
      </top>
      <bottom style="thin">
        <color rgb="FF1F1F1F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thin">
        <color rgb="FF1F1F1F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medium">
        <color rgb="FFF9A825"/>
      </left>
      <right style="medium">
        <color rgb="FFF9A825"/>
      </right>
      <top style="medium">
        <color rgb="FFF9A825"/>
      </top>
      <bottom style="medium">
        <color rgb="FFF9A825"/>
      </bottom>
      <diagonal/>
    </border>
    <border>
      <left style="dashed">
        <color rgb="FFBDBDBD"/>
      </left>
      <right/>
      <top style="dashed">
        <color rgb="FFBDBDBD"/>
      </top>
      <bottom/>
      <diagonal/>
    </border>
    <border>
      <left style="medium">
        <color rgb="FF2E7D52"/>
      </left>
      <right/>
      <top style="medium">
        <color rgb="FF2E7D52"/>
      </top>
      <bottom/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 style="medium">
        <color rgb="FF2E7D52"/>
      </left>
      <right style="medium">
        <color rgb="FF2E7D52"/>
      </right>
      <top style="medium">
        <color rgb="FF2E7D52"/>
      </top>
      <bottom style="medium">
        <color rgb="FF2E7D52"/>
      </bottom>
      <diagonal/>
    </border>
    <border>
      <left style="thin">
        <color rgb="FF000000"/>
      </left>
      <right/>
      <top style="thin">
        <color rgb="FF000000"/>
      </top>
      <bottom style="thin">
        <color rgb="FFCCCCCC"/>
      </bottom>
      <diagonal/>
    </border>
    <border>
      <left/>
      <right/>
      <top style="thin">
        <color rgb="FF000000"/>
      </top>
      <bottom style="thin">
        <color rgb="FFCCCCCC"/>
      </bottom>
      <diagonal/>
    </border>
    <border>
      <left/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/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/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5" fillId="0" borderId="0"/>
  </cellStyleXfs>
  <cellXfs count="235">
    <xf numFmtId="0" fontId="0" fillId="0" borderId="0" xfId="0"/>
    <xf numFmtId="0" fontId="1" fillId="0" borderId="0" xfId="0" applyFont="1"/>
    <xf numFmtId="0" fontId="1" fillId="2" borderId="0" xfId="0" applyFont="1" applyFill="1"/>
    <xf numFmtId="0" fontId="4" fillId="0" borderId="1" xfId="0" applyFont="1" applyBorder="1" applyAlignment="1">
      <alignment readingOrder="1"/>
    </xf>
    <xf numFmtId="0" fontId="0" fillId="0" borderId="0" xfId="0" quotePrefix="1"/>
    <xf numFmtId="0" fontId="0" fillId="0" borderId="0" xfId="0" applyAlignment="1">
      <alignment horizontal="center"/>
    </xf>
    <xf numFmtId="0" fontId="5" fillId="0" borderId="1" xfId="0" applyFont="1" applyBorder="1" applyAlignment="1">
      <alignment readingOrder="1"/>
    </xf>
    <xf numFmtId="0" fontId="0" fillId="0" borderId="4" xfId="0" applyBorder="1"/>
    <xf numFmtId="0" fontId="0" fillId="0" borderId="5" xfId="0" applyBorder="1"/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4" fillId="0" borderId="6" xfId="0" applyFont="1" applyBorder="1" applyAlignment="1">
      <alignment readingOrder="1"/>
    </xf>
    <xf numFmtId="0" fontId="1" fillId="0" borderId="0" xfId="0" applyFont="1" applyAlignment="1">
      <alignment horizontal="center"/>
    </xf>
    <xf numFmtId="0" fontId="9" fillId="0" borderId="0" xfId="1"/>
    <xf numFmtId="0" fontId="9" fillId="0" borderId="0" xfId="1" applyAlignment="1">
      <alignment horizontal="center" vertical="center"/>
    </xf>
    <xf numFmtId="0" fontId="0" fillId="0" borderId="0" xfId="0" quotePrefix="1" applyAlignment="1">
      <alignment wrapText="1"/>
    </xf>
    <xf numFmtId="0" fontId="10" fillId="0" borderId="0" xfId="0" applyFont="1"/>
    <xf numFmtId="0" fontId="12" fillId="0" borderId="0" xfId="0" applyFont="1"/>
    <xf numFmtId="9" fontId="0" fillId="0" borderId="0" xfId="0" applyNumberFormat="1"/>
    <xf numFmtId="0" fontId="15" fillId="0" borderId="0" xfId="2"/>
    <xf numFmtId="0" fontId="17" fillId="0" borderId="0" xfId="2" applyFont="1"/>
    <xf numFmtId="0" fontId="18" fillId="0" borderId="0" xfId="2" applyFont="1"/>
    <xf numFmtId="164" fontId="18" fillId="0" borderId="0" xfId="2" applyNumberFormat="1" applyFont="1"/>
    <xf numFmtId="0" fontId="21" fillId="7" borderId="15" xfId="2" applyFont="1" applyFill="1" applyBorder="1" applyAlignment="1">
      <alignment horizontal="center" vertical="center" wrapText="1"/>
    </xf>
    <xf numFmtId="0" fontId="22" fillId="8" borderId="16" xfId="2" applyFont="1" applyFill="1" applyBorder="1" applyAlignment="1">
      <alignment horizontal="left" vertical="top" wrapText="1"/>
    </xf>
    <xf numFmtId="0" fontId="22" fillId="8" borderId="16" xfId="2" applyFont="1" applyFill="1" applyBorder="1" applyAlignment="1">
      <alignment horizontal="left" vertical="top"/>
    </xf>
    <xf numFmtId="0" fontId="23" fillId="8" borderId="16" xfId="2" applyFont="1" applyFill="1" applyBorder="1" applyAlignment="1">
      <alignment horizontal="left" vertical="top" wrapText="1"/>
    </xf>
    <xf numFmtId="0" fontId="24" fillId="9" borderId="15" xfId="2" applyFont="1" applyFill="1" applyBorder="1" applyAlignment="1">
      <alignment horizontal="left" vertical="center" indent="1"/>
    </xf>
    <xf numFmtId="165" fontId="25" fillId="10" borderId="17" xfId="2" applyNumberFormat="1" applyFont="1" applyFill="1" applyBorder="1" applyAlignment="1">
      <alignment horizontal="right" vertical="center"/>
    </xf>
    <xf numFmtId="0" fontId="22" fillId="11" borderId="16" xfId="2" applyFont="1" applyFill="1" applyBorder="1" applyAlignment="1">
      <alignment horizontal="left" vertical="top" wrapText="1"/>
    </xf>
    <xf numFmtId="0" fontId="22" fillId="11" borderId="16" xfId="2" applyFont="1" applyFill="1" applyBorder="1" applyAlignment="1">
      <alignment horizontal="left" vertical="top"/>
    </xf>
    <xf numFmtId="0" fontId="23" fillId="11" borderId="16" xfId="2" applyFont="1" applyFill="1" applyBorder="1" applyAlignment="1">
      <alignment horizontal="left" vertical="top" wrapText="1"/>
    </xf>
    <xf numFmtId="0" fontId="26" fillId="0" borderId="0" xfId="2" applyFont="1"/>
    <xf numFmtId="0" fontId="27" fillId="11" borderId="0" xfId="2" applyFont="1" applyFill="1"/>
    <xf numFmtId="2" fontId="28" fillId="10" borderId="17" xfId="2" applyNumberFormat="1" applyFont="1" applyFill="1" applyBorder="1" applyAlignment="1">
      <alignment horizontal="right" vertical="center"/>
    </xf>
    <xf numFmtId="3" fontId="28" fillId="10" borderId="17" xfId="2" applyNumberFormat="1" applyFont="1" applyFill="1" applyBorder="1" applyAlignment="1">
      <alignment horizontal="right" vertical="center"/>
    </xf>
    <xf numFmtId="9" fontId="29" fillId="0" borderId="0" xfId="2" applyNumberFormat="1" applyFont="1"/>
    <xf numFmtId="0" fontId="29" fillId="0" borderId="0" xfId="2" applyFont="1"/>
    <xf numFmtId="0" fontId="21" fillId="14" borderId="15" xfId="2" applyFont="1" applyFill="1" applyBorder="1" applyAlignment="1">
      <alignment horizontal="center" vertical="center" wrapText="1"/>
    </xf>
    <xf numFmtId="0" fontId="33" fillId="15" borderId="15" xfId="2" applyFont="1" applyFill="1" applyBorder="1" applyAlignment="1">
      <alignment horizontal="center" vertical="center" wrapText="1"/>
    </xf>
    <xf numFmtId="4" fontId="34" fillId="15" borderId="15" xfId="2" applyNumberFormat="1" applyFont="1" applyFill="1" applyBorder="1" applyAlignment="1">
      <alignment horizontal="right" vertical="center"/>
    </xf>
    <xf numFmtId="164" fontId="34" fillId="15" borderId="15" xfId="2" applyNumberFormat="1" applyFont="1" applyFill="1" applyBorder="1" applyAlignment="1">
      <alignment horizontal="right" vertical="center"/>
    </xf>
    <xf numFmtId="0" fontId="33" fillId="11" borderId="15" xfId="2" applyFont="1" applyFill="1" applyBorder="1" applyAlignment="1">
      <alignment horizontal="center" vertical="center" wrapText="1"/>
    </xf>
    <xf numFmtId="4" fontId="34" fillId="11" borderId="15" xfId="2" applyNumberFormat="1" applyFont="1" applyFill="1" applyBorder="1" applyAlignment="1">
      <alignment horizontal="right" vertical="center"/>
    </xf>
    <xf numFmtId="164" fontId="34" fillId="11" borderId="15" xfId="2" applyNumberFormat="1" applyFont="1" applyFill="1" applyBorder="1" applyAlignment="1">
      <alignment horizontal="right" vertical="center"/>
    </xf>
    <xf numFmtId="0" fontId="35" fillId="4" borderId="15" xfId="2" applyFont="1" applyFill="1" applyBorder="1" applyAlignment="1">
      <alignment horizontal="center" vertical="center" wrapText="1"/>
    </xf>
    <xf numFmtId="4" fontId="35" fillId="4" borderId="17" xfId="2" applyNumberFormat="1" applyFont="1" applyFill="1" applyBorder="1" applyAlignment="1">
      <alignment horizontal="right" vertical="center"/>
    </xf>
    <xf numFmtId="164" fontId="35" fillId="4" borderId="17" xfId="2" applyNumberFormat="1" applyFont="1" applyFill="1" applyBorder="1" applyAlignment="1">
      <alignment horizontal="right" vertical="center"/>
    </xf>
    <xf numFmtId="0" fontId="21" fillId="6" borderId="15" xfId="2" applyFont="1" applyFill="1" applyBorder="1" applyAlignment="1">
      <alignment horizontal="center" vertical="center" wrapText="1"/>
    </xf>
    <xf numFmtId="4" fontId="28" fillId="10" borderId="17" xfId="2" applyNumberFormat="1" applyFont="1" applyFill="1" applyBorder="1" applyAlignment="1">
      <alignment horizontal="right" vertical="center"/>
    </xf>
    <xf numFmtId="4" fontId="24" fillId="15" borderId="15" xfId="2" applyNumberFormat="1" applyFont="1" applyFill="1" applyBorder="1" applyAlignment="1">
      <alignment horizontal="right" vertical="center"/>
    </xf>
    <xf numFmtId="164" fontId="24" fillId="15" borderId="15" xfId="2" applyNumberFormat="1" applyFont="1" applyFill="1" applyBorder="1" applyAlignment="1">
      <alignment horizontal="right" vertical="center"/>
    </xf>
    <xf numFmtId="4" fontId="24" fillId="11" borderId="15" xfId="2" applyNumberFormat="1" applyFont="1" applyFill="1" applyBorder="1" applyAlignment="1">
      <alignment horizontal="right" vertical="center"/>
    </xf>
    <xf numFmtId="164" fontId="24" fillId="11" borderId="15" xfId="2" applyNumberFormat="1" applyFont="1" applyFill="1" applyBorder="1" applyAlignment="1">
      <alignment horizontal="right" vertical="center"/>
    </xf>
    <xf numFmtId="4" fontId="37" fillId="13" borderId="21" xfId="2" applyNumberFormat="1" applyFont="1" applyFill="1" applyBorder="1" applyAlignment="1">
      <alignment horizontal="right" vertical="center"/>
    </xf>
    <xf numFmtId="164" fontId="38" fillId="16" borderId="21" xfId="2" applyNumberFormat="1" applyFont="1" applyFill="1" applyBorder="1" applyAlignment="1">
      <alignment horizontal="right" vertical="center"/>
    </xf>
    <xf numFmtId="9" fontId="28" fillId="10" borderId="17" xfId="2" applyNumberFormat="1" applyFont="1" applyFill="1" applyBorder="1" applyAlignment="1">
      <alignment horizontal="right" vertical="center"/>
    </xf>
    <xf numFmtId="166" fontId="34" fillId="15" borderId="15" xfId="2" applyNumberFormat="1" applyFont="1" applyFill="1" applyBorder="1" applyAlignment="1">
      <alignment horizontal="right" vertical="center"/>
    </xf>
    <xf numFmtId="3" fontId="34" fillId="15" borderId="15" xfId="2" applyNumberFormat="1" applyFont="1" applyFill="1" applyBorder="1" applyAlignment="1">
      <alignment horizontal="right" vertical="center"/>
    </xf>
    <xf numFmtId="166" fontId="34" fillId="11" borderId="15" xfId="2" applyNumberFormat="1" applyFont="1" applyFill="1" applyBorder="1" applyAlignment="1">
      <alignment horizontal="right" vertical="center"/>
    </xf>
    <xf numFmtId="3" fontId="34" fillId="11" borderId="15" xfId="2" applyNumberFormat="1" applyFont="1" applyFill="1" applyBorder="1" applyAlignment="1">
      <alignment horizontal="right" vertical="center"/>
    </xf>
    <xf numFmtId="0" fontId="33" fillId="9" borderId="15" xfId="2" applyFont="1" applyFill="1" applyBorder="1" applyAlignment="1">
      <alignment horizontal="left" vertical="center" wrapText="1" indent="1"/>
    </xf>
    <xf numFmtId="3" fontId="25" fillId="10" borderId="17" xfId="2" applyNumberFormat="1" applyFont="1" applyFill="1" applyBorder="1" applyAlignment="1">
      <alignment horizontal="right" vertical="center"/>
    </xf>
    <xf numFmtId="2" fontId="43" fillId="15" borderId="15" xfId="2" applyNumberFormat="1" applyFont="1" applyFill="1" applyBorder="1" applyAlignment="1">
      <alignment horizontal="center" vertical="center" wrapText="1"/>
    </xf>
    <xf numFmtId="1" fontId="43" fillId="15" borderId="15" xfId="2" applyNumberFormat="1" applyFont="1" applyFill="1" applyBorder="1" applyAlignment="1">
      <alignment horizontal="center" vertical="center" wrapText="1"/>
    </xf>
    <xf numFmtId="164" fontId="43" fillId="15" borderId="15" xfId="2" applyNumberFormat="1" applyFont="1" applyFill="1" applyBorder="1" applyAlignment="1">
      <alignment horizontal="center" vertical="center" wrapText="1"/>
    </xf>
    <xf numFmtId="2" fontId="34" fillId="15" borderId="15" xfId="2" applyNumberFormat="1" applyFont="1" applyFill="1" applyBorder="1" applyAlignment="1">
      <alignment horizontal="center" vertical="center" wrapText="1"/>
    </xf>
    <xf numFmtId="164" fontId="37" fillId="15" borderId="15" xfId="2" applyNumberFormat="1" applyFont="1" applyFill="1" applyBorder="1" applyAlignment="1">
      <alignment horizontal="center" vertical="center" wrapText="1"/>
    </xf>
    <xf numFmtId="166" fontId="43" fillId="15" borderId="15" xfId="2" applyNumberFormat="1" applyFont="1" applyFill="1" applyBorder="1" applyAlignment="1">
      <alignment horizontal="center" vertical="center" wrapText="1"/>
    </xf>
    <xf numFmtId="3" fontId="43" fillId="15" borderId="15" xfId="2" applyNumberFormat="1" applyFont="1" applyFill="1" applyBorder="1" applyAlignment="1">
      <alignment horizontal="center" vertical="center" wrapText="1"/>
    </xf>
    <xf numFmtId="165" fontId="37" fillId="15" borderId="15" xfId="2" applyNumberFormat="1" applyFont="1" applyFill="1" applyBorder="1" applyAlignment="1">
      <alignment horizontal="center" vertical="center" wrapText="1"/>
    </xf>
    <xf numFmtId="2" fontId="43" fillId="11" borderId="15" xfId="2" applyNumberFormat="1" applyFont="1" applyFill="1" applyBorder="1" applyAlignment="1">
      <alignment horizontal="center" vertical="center" wrapText="1"/>
    </xf>
    <xf numFmtId="1" fontId="43" fillId="11" borderId="15" xfId="2" applyNumberFormat="1" applyFont="1" applyFill="1" applyBorder="1" applyAlignment="1">
      <alignment horizontal="center" vertical="center" wrapText="1"/>
    </xf>
    <xf numFmtId="164" fontId="43" fillId="11" borderId="15" xfId="2" applyNumberFormat="1" applyFont="1" applyFill="1" applyBorder="1" applyAlignment="1">
      <alignment horizontal="center" vertical="center" wrapText="1"/>
    </xf>
    <xf numFmtId="2" fontId="34" fillId="11" borderId="15" xfId="2" applyNumberFormat="1" applyFont="1" applyFill="1" applyBorder="1" applyAlignment="1">
      <alignment horizontal="center" vertical="center" wrapText="1"/>
    </xf>
    <xf numFmtId="164" fontId="37" fillId="11" borderId="15" xfId="2" applyNumberFormat="1" applyFont="1" applyFill="1" applyBorder="1" applyAlignment="1">
      <alignment horizontal="center" vertical="center" wrapText="1"/>
    </xf>
    <xf numFmtId="166" fontId="43" fillId="11" borderId="15" xfId="2" applyNumberFormat="1" applyFont="1" applyFill="1" applyBorder="1" applyAlignment="1">
      <alignment horizontal="center" vertical="center" wrapText="1"/>
    </xf>
    <xf numFmtId="3" fontId="43" fillId="11" borderId="15" xfId="2" applyNumberFormat="1" applyFont="1" applyFill="1" applyBorder="1" applyAlignment="1">
      <alignment horizontal="center" vertical="center" wrapText="1"/>
    </xf>
    <xf numFmtId="165" fontId="37" fillId="11" borderId="15" xfId="2" applyNumberFormat="1" applyFont="1" applyFill="1" applyBorder="1" applyAlignment="1">
      <alignment horizontal="center" vertical="center" wrapText="1"/>
    </xf>
    <xf numFmtId="0" fontId="18" fillId="15" borderId="15" xfId="2" applyFont="1" applyFill="1" applyBorder="1" applyAlignment="1">
      <alignment horizontal="left" vertical="center" wrapText="1" indent="1"/>
    </xf>
    <xf numFmtId="2" fontId="18" fillId="15" borderId="15" xfId="2" applyNumberFormat="1" applyFont="1" applyFill="1" applyBorder="1" applyAlignment="1">
      <alignment horizontal="center" vertical="center" wrapText="1"/>
    </xf>
    <xf numFmtId="0" fontId="18" fillId="11" borderId="15" xfId="2" applyFont="1" applyFill="1" applyBorder="1" applyAlignment="1">
      <alignment horizontal="left" vertical="center" wrapText="1" indent="1"/>
    </xf>
    <xf numFmtId="1" fontId="18" fillId="11" borderId="15" xfId="2" applyNumberFormat="1" applyFont="1" applyFill="1" applyBorder="1" applyAlignment="1">
      <alignment horizontal="center" vertical="center" wrapText="1"/>
    </xf>
    <xf numFmtId="164" fontId="18" fillId="11" borderId="15" xfId="2" applyNumberFormat="1" applyFont="1" applyFill="1" applyBorder="1" applyAlignment="1">
      <alignment horizontal="center" vertical="center" wrapText="1"/>
    </xf>
    <xf numFmtId="3" fontId="18" fillId="15" borderId="15" xfId="2" applyNumberFormat="1" applyFont="1" applyFill="1" applyBorder="1" applyAlignment="1">
      <alignment horizontal="center" vertical="center" wrapText="1"/>
    </xf>
    <xf numFmtId="3" fontId="18" fillId="11" borderId="15" xfId="2" applyNumberFormat="1" applyFont="1" applyFill="1" applyBorder="1" applyAlignment="1">
      <alignment horizontal="center" vertical="center" wrapText="1"/>
    </xf>
    <xf numFmtId="1" fontId="18" fillId="15" borderId="15" xfId="2" applyNumberFormat="1" applyFont="1" applyFill="1" applyBorder="1" applyAlignment="1">
      <alignment horizontal="center" vertical="center" wrapText="1"/>
    </xf>
    <xf numFmtId="165" fontId="18" fillId="11" borderId="15" xfId="2" applyNumberFormat="1" applyFont="1" applyFill="1" applyBorder="1" applyAlignment="1">
      <alignment horizontal="center" vertical="center" wrapText="1"/>
    </xf>
    <xf numFmtId="0" fontId="46" fillId="20" borderId="28" xfId="0" applyFont="1" applyFill="1" applyBorder="1" applyAlignment="1">
      <alignment wrapText="1" readingOrder="1"/>
    </xf>
    <xf numFmtId="0" fontId="47" fillId="20" borderId="29" xfId="0" applyFont="1" applyFill="1" applyBorder="1" applyAlignment="1">
      <alignment wrapText="1" readingOrder="1"/>
    </xf>
    <xf numFmtId="0" fontId="46" fillId="21" borderId="28" xfId="0" applyFont="1" applyFill="1" applyBorder="1" applyAlignment="1">
      <alignment wrapText="1" readingOrder="1"/>
    </xf>
    <xf numFmtId="0" fontId="47" fillId="21" borderId="29" xfId="0" applyFont="1" applyFill="1" applyBorder="1" applyAlignment="1">
      <alignment wrapText="1" readingOrder="1"/>
    </xf>
    <xf numFmtId="0" fontId="55" fillId="18" borderId="28" xfId="0" applyFont="1" applyFill="1" applyBorder="1" applyAlignment="1">
      <alignment wrapText="1" readingOrder="1"/>
    </xf>
    <xf numFmtId="0" fontId="55" fillId="18" borderId="29" xfId="0" applyFont="1" applyFill="1" applyBorder="1" applyAlignment="1">
      <alignment wrapText="1" readingOrder="1"/>
    </xf>
    <xf numFmtId="0" fontId="55" fillId="18" borderId="30" xfId="0" applyFont="1" applyFill="1" applyBorder="1" applyAlignment="1">
      <alignment wrapText="1" readingOrder="1"/>
    </xf>
    <xf numFmtId="0" fontId="57" fillId="23" borderId="28" xfId="0" applyFont="1" applyFill="1" applyBorder="1" applyAlignment="1">
      <alignment wrapText="1" readingOrder="1"/>
    </xf>
    <xf numFmtId="0" fontId="57" fillId="21" borderId="28" xfId="0" applyFont="1" applyFill="1" applyBorder="1" applyAlignment="1">
      <alignment wrapText="1" readingOrder="1"/>
    </xf>
    <xf numFmtId="0" fontId="57" fillId="21" borderId="33" xfId="0" applyFont="1" applyFill="1" applyBorder="1" applyAlignment="1">
      <alignment wrapText="1" readingOrder="1"/>
    </xf>
    <xf numFmtId="0" fontId="60" fillId="0" borderId="29" xfId="0" applyFont="1" applyBorder="1" applyAlignment="1">
      <alignment readingOrder="1"/>
    </xf>
    <xf numFmtId="0" fontId="60" fillId="0" borderId="30" xfId="0" applyFont="1" applyBorder="1" applyAlignment="1">
      <alignment readingOrder="1"/>
    </xf>
    <xf numFmtId="167" fontId="45" fillId="20" borderId="29" xfId="0" applyNumberFormat="1" applyFont="1" applyFill="1" applyBorder="1" applyAlignment="1">
      <alignment wrapText="1" readingOrder="1"/>
    </xf>
    <xf numFmtId="167" fontId="45" fillId="21" borderId="29" xfId="0" applyNumberFormat="1" applyFont="1" applyFill="1" applyBorder="1" applyAlignment="1">
      <alignment wrapText="1" readingOrder="1"/>
    </xf>
    <xf numFmtId="164" fontId="58" fillId="23" borderId="29" xfId="0" applyNumberFormat="1" applyFont="1" applyFill="1" applyBorder="1" applyAlignment="1">
      <alignment wrapText="1" readingOrder="1"/>
    </xf>
    <xf numFmtId="167" fontId="58" fillId="23" borderId="29" xfId="0" applyNumberFormat="1" applyFont="1" applyFill="1" applyBorder="1" applyAlignment="1">
      <alignment wrapText="1" readingOrder="1"/>
    </xf>
    <xf numFmtId="168" fontId="59" fillId="23" borderId="30" xfId="0" applyNumberFormat="1" applyFont="1" applyFill="1" applyBorder="1" applyAlignment="1">
      <alignment wrapText="1" readingOrder="1"/>
    </xf>
    <xf numFmtId="0" fontId="0" fillId="0" borderId="0" xfId="0" applyAlignment="1">
      <alignment wrapText="1"/>
    </xf>
    <xf numFmtId="0" fontId="0" fillId="25" borderId="0" xfId="0" applyFill="1"/>
    <xf numFmtId="0" fontId="0" fillId="26" borderId="0" xfId="0" applyFill="1"/>
    <xf numFmtId="0" fontId="0" fillId="3" borderId="0" xfId="0" applyFill="1"/>
    <xf numFmtId="0" fontId="21" fillId="19" borderId="28" xfId="0" applyFont="1" applyFill="1" applyBorder="1" applyAlignment="1">
      <alignment wrapText="1" readingOrder="1"/>
    </xf>
    <xf numFmtId="0" fontId="21" fillId="19" borderId="29" xfId="0" applyFont="1" applyFill="1" applyBorder="1" applyAlignment="1">
      <alignment wrapText="1" readingOrder="1"/>
    </xf>
    <xf numFmtId="164" fontId="34" fillId="20" borderId="29" xfId="0" applyNumberFormat="1" applyFont="1" applyFill="1" applyBorder="1" applyAlignment="1">
      <alignment wrapText="1" readingOrder="1"/>
    </xf>
    <xf numFmtId="164" fontId="43" fillId="20" borderId="29" xfId="0" applyNumberFormat="1" applyFont="1" applyFill="1" applyBorder="1" applyAlignment="1">
      <alignment wrapText="1" readingOrder="1"/>
    </xf>
    <xf numFmtId="164" fontId="34" fillId="21" borderId="29" xfId="0" applyNumberFormat="1" applyFont="1" applyFill="1" applyBorder="1" applyAlignment="1">
      <alignment wrapText="1" readingOrder="1"/>
    </xf>
    <xf numFmtId="164" fontId="43" fillId="21" borderId="29" xfId="0" applyNumberFormat="1" applyFont="1" applyFill="1" applyBorder="1" applyAlignment="1">
      <alignment wrapText="1" readingOrder="1"/>
    </xf>
    <xf numFmtId="165" fontId="34" fillId="20" borderId="29" xfId="0" applyNumberFormat="1" applyFont="1" applyFill="1" applyBorder="1" applyAlignment="1">
      <alignment wrapText="1" readingOrder="1"/>
    </xf>
    <xf numFmtId="165" fontId="43" fillId="20" borderId="29" xfId="0" applyNumberFormat="1" applyFont="1" applyFill="1" applyBorder="1" applyAlignment="1">
      <alignment wrapText="1" readingOrder="1"/>
    </xf>
    <xf numFmtId="165" fontId="34" fillId="21" borderId="29" xfId="0" applyNumberFormat="1" applyFont="1" applyFill="1" applyBorder="1" applyAlignment="1">
      <alignment wrapText="1" readingOrder="1"/>
    </xf>
    <xf numFmtId="165" fontId="43" fillId="21" borderId="29" xfId="0" applyNumberFormat="1" applyFont="1" applyFill="1" applyBorder="1" applyAlignment="1">
      <alignment wrapText="1" readingOrder="1"/>
    </xf>
    <xf numFmtId="4" fontId="34" fillId="20" borderId="29" xfId="0" applyNumberFormat="1" applyFont="1" applyFill="1" applyBorder="1" applyAlignment="1">
      <alignment wrapText="1" readingOrder="1"/>
    </xf>
    <xf numFmtId="0" fontId="34" fillId="20" borderId="29" xfId="0" applyFont="1" applyFill="1" applyBorder="1" applyAlignment="1">
      <alignment wrapText="1" readingOrder="1"/>
    </xf>
    <xf numFmtId="4" fontId="34" fillId="21" borderId="29" xfId="0" applyNumberFormat="1" applyFont="1" applyFill="1" applyBorder="1" applyAlignment="1">
      <alignment wrapText="1" readingOrder="1"/>
    </xf>
    <xf numFmtId="0" fontId="34" fillId="21" borderId="29" xfId="0" applyFont="1" applyFill="1" applyBorder="1" applyAlignment="1">
      <alignment wrapText="1" readingOrder="1"/>
    </xf>
    <xf numFmtId="0" fontId="1" fillId="0" borderId="37" xfId="0" applyFont="1" applyBorder="1"/>
    <xf numFmtId="0" fontId="0" fillId="0" borderId="37" xfId="0" applyBorder="1"/>
    <xf numFmtId="0" fontId="61" fillId="25" borderId="37" xfId="0" applyFont="1" applyFill="1" applyBorder="1" applyAlignment="1">
      <alignment horizontal="left" vertical="center"/>
    </xf>
    <xf numFmtId="0" fontId="24" fillId="27" borderId="37" xfId="2" applyFont="1" applyFill="1" applyBorder="1" applyAlignment="1">
      <alignment horizontal="left" vertical="center"/>
    </xf>
    <xf numFmtId="167" fontId="0" fillId="25" borderId="37" xfId="0" applyNumberFormat="1" applyFill="1" applyBorder="1"/>
    <xf numFmtId="0" fontId="0" fillId="25" borderId="37" xfId="0" applyFill="1" applyBorder="1"/>
    <xf numFmtId="0" fontId="2" fillId="0" borderId="37" xfId="0" applyFont="1" applyBorder="1" applyAlignment="1">
      <alignment readingOrder="1"/>
    </xf>
    <xf numFmtId="0" fontId="3" fillId="0" borderId="37" xfId="0" applyFont="1" applyBorder="1" applyAlignment="1">
      <alignment readingOrder="1"/>
    </xf>
    <xf numFmtId="0" fontId="13" fillId="0" borderId="37" xfId="0" applyFont="1" applyBorder="1" applyAlignment="1">
      <alignment readingOrder="1"/>
    </xf>
    <xf numFmtId="0" fontId="14" fillId="0" borderId="37" xfId="0" applyFont="1" applyBorder="1" applyAlignment="1">
      <alignment readingOrder="1"/>
    </xf>
    <xf numFmtId="0" fontId="63" fillId="28" borderId="35" xfId="0" applyFont="1" applyFill="1" applyBorder="1" applyAlignment="1">
      <alignment readingOrder="1"/>
    </xf>
    <xf numFmtId="0" fontId="1" fillId="28" borderId="35" xfId="0" applyFont="1" applyFill="1" applyBorder="1"/>
    <xf numFmtId="0" fontId="3" fillId="25" borderId="35" xfId="0" applyFont="1" applyFill="1" applyBorder="1" applyAlignment="1">
      <alignment readingOrder="1"/>
    </xf>
    <xf numFmtId="0" fontId="0" fillId="25" borderId="35" xfId="0" applyFill="1" applyBorder="1"/>
    <xf numFmtId="1" fontId="0" fillId="25" borderId="35" xfId="0" applyNumberFormat="1" applyFill="1" applyBorder="1" applyAlignment="1">
      <alignment horizontal="center" vertical="center"/>
    </xf>
    <xf numFmtId="0" fontId="3" fillId="25" borderId="35" xfId="0" applyFont="1" applyFill="1" applyBorder="1" applyAlignment="1">
      <alignment horizontal="center" vertical="center" readingOrder="1"/>
    </xf>
    <xf numFmtId="0" fontId="61" fillId="26" borderId="35" xfId="0" applyFont="1" applyFill="1" applyBorder="1" applyAlignment="1">
      <alignment horizontal="center"/>
    </xf>
    <xf numFmtId="0" fontId="62" fillId="28" borderId="36" xfId="0" applyFont="1" applyFill="1" applyBorder="1" applyAlignment="1">
      <alignment readingOrder="1"/>
    </xf>
    <xf numFmtId="0" fontId="62" fillId="28" borderId="38" xfId="0" applyFont="1" applyFill="1" applyBorder="1" applyAlignment="1">
      <alignment readingOrder="1"/>
    </xf>
    <xf numFmtId="0" fontId="0" fillId="28" borderId="38" xfId="0" applyFill="1" applyBorder="1"/>
    <xf numFmtId="0" fontId="62" fillId="28" borderId="39" xfId="0" applyFont="1" applyFill="1" applyBorder="1" applyAlignment="1">
      <alignment readingOrder="1"/>
    </xf>
    <xf numFmtId="0" fontId="0" fillId="28" borderId="35" xfId="0" applyFill="1" applyBorder="1"/>
    <xf numFmtId="0" fontId="0" fillId="28" borderId="36" xfId="0" applyFill="1" applyBorder="1"/>
    <xf numFmtId="0" fontId="1" fillId="28" borderId="40" xfId="0" applyFont="1" applyFill="1" applyBorder="1"/>
    <xf numFmtId="0" fontId="0" fillId="25" borderId="40" xfId="0" applyFill="1" applyBorder="1"/>
    <xf numFmtId="0" fontId="1" fillId="28" borderId="37" xfId="0" applyFont="1" applyFill="1" applyBorder="1"/>
    <xf numFmtId="0" fontId="63" fillId="26" borderId="0" xfId="0" applyFont="1" applyFill="1" applyAlignment="1">
      <alignment readingOrder="1"/>
    </xf>
    <xf numFmtId="0" fontId="3" fillId="26" borderId="0" xfId="0" applyFont="1" applyFill="1" applyAlignment="1">
      <alignment readingOrder="1"/>
    </xf>
    <xf numFmtId="0" fontId="0" fillId="26" borderId="0" xfId="0" applyFill="1" applyAlignment="1">
      <alignment horizontal="center" vertical="center"/>
    </xf>
    <xf numFmtId="0" fontId="3" fillId="26" borderId="0" xfId="0" applyFont="1" applyFill="1" applyAlignment="1">
      <alignment horizontal="center" vertical="center" readingOrder="1"/>
    </xf>
    <xf numFmtId="0" fontId="0" fillId="28" borderId="37" xfId="0" applyFill="1" applyBorder="1" applyAlignment="1">
      <alignment wrapText="1"/>
    </xf>
    <xf numFmtId="4" fontId="0" fillId="26" borderId="0" xfId="0" applyNumberFormat="1" applyFill="1" applyAlignment="1">
      <alignment horizontal="center"/>
    </xf>
    <xf numFmtId="0" fontId="1" fillId="26" borderId="0" xfId="0" applyFont="1" applyFill="1"/>
    <xf numFmtId="0" fontId="1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169" fontId="1" fillId="25" borderId="35" xfId="0" applyNumberFormat="1" applyFont="1" applyFill="1" applyBorder="1" applyAlignment="1">
      <alignment horizontal="center"/>
    </xf>
    <xf numFmtId="4" fontId="0" fillId="25" borderId="35" xfId="0" applyNumberFormat="1" applyFill="1" applyBorder="1" applyAlignment="1">
      <alignment horizontal="center"/>
    </xf>
    <xf numFmtId="2" fontId="64" fillId="25" borderId="35" xfId="0" applyNumberFormat="1" applyFont="1" applyFill="1" applyBorder="1" applyAlignment="1">
      <alignment horizontal="center"/>
    </xf>
    <xf numFmtId="169" fontId="0" fillId="25" borderId="35" xfId="0" applyNumberFormat="1" applyFill="1" applyBorder="1" applyAlignment="1">
      <alignment horizontal="center"/>
    </xf>
    <xf numFmtId="0" fontId="1" fillId="28" borderId="35" xfId="0" applyFont="1" applyFill="1" applyBorder="1" applyAlignment="1">
      <alignment horizontal="center" vertical="center" wrapText="1"/>
    </xf>
    <xf numFmtId="0" fontId="1" fillId="28" borderId="35" xfId="0" applyFont="1" applyFill="1" applyBorder="1" applyAlignment="1">
      <alignment horizontal="center" vertical="center"/>
    </xf>
    <xf numFmtId="0" fontId="1" fillId="25" borderId="35" xfId="0" applyFont="1" applyFill="1" applyBorder="1"/>
    <xf numFmtId="9" fontId="0" fillId="25" borderId="35" xfId="0" applyNumberFormat="1" applyFill="1" applyBorder="1" applyAlignment="1">
      <alignment horizontal="center"/>
    </xf>
    <xf numFmtId="0" fontId="0" fillId="26" borderId="0" xfId="0" quotePrefix="1" applyFill="1" applyAlignment="1">
      <alignment horizontal="center"/>
    </xf>
    <xf numFmtId="0" fontId="0" fillId="0" borderId="0" xfId="0"/>
    <xf numFmtId="0" fontId="0" fillId="25" borderId="35" xfId="0" applyFill="1" applyBorder="1" applyAlignment="1">
      <alignment horizontal="center" vertical="center"/>
    </xf>
    <xf numFmtId="0" fontId="0" fillId="25" borderId="35" xfId="0" applyFill="1" applyBorder="1" applyAlignment="1">
      <alignment horizontal="center" vertical="center"/>
    </xf>
    <xf numFmtId="0" fontId="56" fillId="23" borderId="25" xfId="0" applyFont="1" applyFill="1" applyBorder="1" applyAlignment="1">
      <alignment wrapText="1" readingOrder="1"/>
    </xf>
    <xf numFmtId="0" fontId="56" fillId="23" borderId="26" xfId="0" applyFont="1" applyFill="1" applyBorder="1" applyAlignment="1">
      <alignment wrapText="1" readingOrder="1"/>
    </xf>
    <xf numFmtId="0" fontId="56" fillId="23" borderId="27" xfId="0" applyFont="1" applyFill="1" applyBorder="1" applyAlignment="1">
      <alignment wrapText="1" readingOrder="1"/>
    </xf>
    <xf numFmtId="0" fontId="53" fillId="24" borderId="25" xfId="0" applyFont="1" applyFill="1" applyBorder="1" applyAlignment="1">
      <alignment wrapText="1" readingOrder="1"/>
    </xf>
    <xf numFmtId="0" fontId="53" fillId="24" borderId="26" xfId="0" applyFont="1" applyFill="1" applyBorder="1" applyAlignment="1">
      <alignment wrapText="1" readingOrder="1"/>
    </xf>
    <xf numFmtId="0" fontId="53" fillId="24" borderId="31" xfId="0" applyFont="1" applyFill="1" applyBorder="1" applyAlignment="1">
      <alignment wrapText="1" readingOrder="1"/>
    </xf>
    <xf numFmtId="168" fontId="54" fillId="24" borderId="32" xfId="0" applyNumberFormat="1" applyFont="1" applyFill="1" applyBorder="1" applyAlignment="1">
      <alignment wrapText="1" readingOrder="1"/>
    </xf>
    <xf numFmtId="0" fontId="54" fillId="24" borderId="26" xfId="0" applyFont="1" applyFill="1" applyBorder="1" applyAlignment="1">
      <alignment wrapText="1" readingOrder="1"/>
    </xf>
    <xf numFmtId="0" fontId="54" fillId="24" borderId="31" xfId="0" applyFont="1" applyFill="1" applyBorder="1" applyAlignment="1">
      <alignment wrapText="1" readingOrder="1"/>
    </xf>
    <xf numFmtId="0" fontId="50" fillId="24" borderId="32" xfId="0" applyFont="1" applyFill="1" applyBorder="1" applyAlignment="1">
      <alignment wrapText="1" readingOrder="1"/>
    </xf>
    <xf numFmtId="0" fontId="50" fillId="24" borderId="26" xfId="0" applyFont="1" applyFill="1" applyBorder="1" applyAlignment="1">
      <alignment wrapText="1" readingOrder="1"/>
    </xf>
    <xf numFmtId="0" fontId="50" fillId="24" borderId="27" xfId="0" applyFont="1" applyFill="1" applyBorder="1" applyAlignment="1">
      <alignment wrapText="1" readingOrder="1"/>
    </xf>
    <xf numFmtId="0" fontId="48" fillId="22" borderId="25" xfId="0" applyFont="1" applyFill="1" applyBorder="1" applyAlignment="1">
      <alignment wrapText="1" readingOrder="1"/>
    </xf>
    <xf numFmtId="0" fontId="48" fillId="22" borderId="26" xfId="0" applyFont="1" applyFill="1" applyBorder="1" applyAlignment="1">
      <alignment wrapText="1" readingOrder="1"/>
    </xf>
    <xf numFmtId="0" fontId="48" fillId="22" borderId="31" xfId="0" applyFont="1" applyFill="1" applyBorder="1" applyAlignment="1">
      <alignment wrapText="1" readingOrder="1"/>
    </xf>
    <xf numFmtId="10" fontId="49" fillId="22" borderId="32" xfId="0" applyNumberFormat="1" applyFont="1" applyFill="1" applyBorder="1" applyAlignment="1">
      <alignment wrapText="1" readingOrder="1"/>
    </xf>
    <xf numFmtId="0" fontId="49" fillId="22" borderId="26" xfId="0" applyFont="1" applyFill="1" applyBorder="1" applyAlignment="1">
      <alignment wrapText="1" readingOrder="1"/>
    </xf>
    <xf numFmtId="0" fontId="49" fillId="22" borderId="31" xfId="0" applyFont="1" applyFill="1" applyBorder="1" applyAlignment="1">
      <alignment wrapText="1" readingOrder="1"/>
    </xf>
    <xf numFmtId="0" fontId="50" fillId="22" borderId="32" xfId="0" applyFont="1" applyFill="1" applyBorder="1" applyAlignment="1">
      <alignment wrapText="1" readingOrder="1"/>
    </xf>
    <xf numFmtId="0" fontId="50" fillId="22" borderId="26" xfId="0" applyFont="1" applyFill="1" applyBorder="1" applyAlignment="1">
      <alignment wrapText="1" readingOrder="1"/>
    </xf>
    <xf numFmtId="0" fontId="50" fillId="22" borderId="27" xfId="0" applyFont="1" applyFill="1" applyBorder="1" applyAlignment="1">
      <alignment wrapText="1" readingOrder="1"/>
    </xf>
    <xf numFmtId="0" fontId="35" fillId="18" borderId="25" xfId="0" applyFont="1" applyFill="1" applyBorder="1" applyAlignment="1">
      <alignment wrapText="1" readingOrder="1"/>
    </xf>
    <xf numFmtId="0" fontId="35" fillId="18" borderId="26" xfId="0" applyFont="1" applyFill="1" applyBorder="1" applyAlignment="1">
      <alignment wrapText="1" readingOrder="1"/>
    </xf>
    <xf numFmtId="0" fontId="35" fillId="18" borderId="27" xfId="0" applyFont="1" applyFill="1" applyBorder="1" applyAlignment="1">
      <alignment wrapText="1" readingOrder="1"/>
    </xf>
    <xf numFmtId="168" fontId="49" fillId="22" borderId="32" xfId="0" applyNumberFormat="1" applyFont="1" applyFill="1" applyBorder="1" applyAlignment="1">
      <alignment wrapText="1" readingOrder="1"/>
    </xf>
    <xf numFmtId="0" fontId="51" fillId="23" borderId="25" xfId="0" applyFont="1" applyFill="1" applyBorder="1" applyAlignment="1">
      <alignment wrapText="1" readingOrder="1"/>
    </xf>
    <xf numFmtId="0" fontId="51" fillId="23" borderId="26" xfId="0" applyFont="1" applyFill="1" applyBorder="1" applyAlignment="1">
      <alignment wrapText="1" readingOrder="1"/>
    </xf>
    <xf numFmtId="0" fontId="51" fillId="23" borderId="31" xfId="0" applyFont="1" applyFill="1" applyBorder="1" applyAlignment="1">
      <alignment wrapText="1" readingOrder="1"/>
    </xf>
    <xf numFmtId="168" fontId="52" fillId="23" borderId="32" xfId="0" applyNumberFormat="1" applyFont="1" applyFill="1" applyBorder="1" applyAlignment="1">
      <alignment wrapText="1" readingOrder="1"/>
    </xf>
    <xf numFmtId="0" fontId="52" fillId="23" borderId="26" xfId="0" applyFont="1" applyFill="1" applyBorder="1" applyAlignment="1">
      <alignment wrapText="1" readingOrder="1"/>
    </xf>
    <xf numFmtId="0" fontId="52" fillId="23" borderId="31" xfId="0" applyFont="1" applyFill="1" applyBorder="1" applyAlignment="1">
      <alignment wrapText="1" readingOrder="1"/>
    </xf>
    <xf numFmtId="0" fontId="50" fillId="23" borderId="32" xfId="0" applyFont="1" applyFill="1" applyBorder="1" applyAlignment="1">
      <alignment wrapText="1" readingOrder="1"/>
    </xf>
    <xf numFmtId="0" fontId="50" fillId="23" borderId="26" xfId="0" applyFont="1" applyFill="1" applyBorder="1" applyAlignment="1">
      <alignment wrapText="1" readingOrder="1"/>
    </xf>
    <xf numFmtId="0" fontId="50" fillId="23" borderId="27" xfId="0" applyFont="1" applyFill="1" applyBorder="1" applyAlignment="1">
      <alignment wrapText="1" readingOrder="1"/>
    </xf>
    <xf numFmtId="0" fontId="36" fillId="18" borderId="22" xfId="0" applyFont="1" applyFill="1" applyBorder="1" applyAlignment="1">
      <alignment wrapText="1" readingOrder="1"/>
    </xf>
    <xf numFmtId="0" fontId="36" fillId="18" borderId="23" xfId="0" applyFont="1" applyFill="1" applyBorder="1" applyAlignment="1">
      <alignment wrapText="1" readingOrder="1"/>
    </xf>
    <xf numFmtId="0" fontId="36" fillId="18" borderId="24" xfId="0" applyFont="1" applyFill="1" applyBorder="1" applyAlignment="1">
      <alignment wrapText="1" readingOrder="1"/>
    </xf>
    <xf numFmtId="0" fontId="44" fillId="0" borderId="25" xfId="0" applyFont="1" applyBorder="1" applyAlignment="1">
      <alignment wrapText="1" readingOrder="1"/>
    </xf>
    <xf numFmtId="0" fontId="44" fillId="0" borderId="26" xfId="0" applyFont="1" applyBorder="1" applyAlignment="1">
      <alignment wrapText="1" readingOrder="1"/>
    </xf>
    <xf numFmtId="0" fontId="44" fillId="0" borderId="27" xfId="0" applyFont="1" applyBorder="1" applyAlignment="1">
      <alignment wrapText="1" readingOrder="1"/>
    </xf>
    <xf numFmtId="0" fontId="11" fillId="3" borderId="7" xfId="0" applyFont="1" applyFill="1" applyBorder="1" applyAlignment="1">
      <alignment horizontal="left" vertical="top" wrapText="1"/>
    </xf>
    <xf numFmtId="0" fontId="11" fillId="3" borderId="8" xfId="0" applyFont="1" applyFill="1" applyBorder="1" applyAlignment="1">
      <alignment horizontal="left" vertical="top" wrapText="1"/>
    </xf>
    <xf numFmtId="0" fontId="11" fillId="3" borderId="9" xfId="0" applyFont="1" applyFill="1" applyBorder="1" applyAlignment="1">
      <alignment horizontal="left" vertical="top" wrapText="1"/>
    </xf>
    <xf numFmtId="0" fontId="11" fillId="3" borderId="10" xfId="0" applyFont="1" applyFill="1" applyBorder="1" applyAlignment="1">
      <alignment horizontal="left" vertical="top" wrapText="1"/>
    </xf>
    <xf numFmtId="0" fontId="11" fillId="3" borderId="0" xfId="0" applyFont="1" applyFill="1" applyAlignment="1">
      <alignment horizontal="left" vertical="top" wrapText="1"/>
    </xf>
    <xf numFmtId="0" fontId="11" fillId="3" borderId="11" xfId="0" applyFont="1" applyFill="1" applyBorder="1" applyAlignment="1">
      <alignment horizontal="left" vertical="top" wrapText="1"/>
    </xf>
    <xf numFmtId="0" fontId="11" fillId="3" borderId="12" xfId="0" applyFont="1" applyFill="1" applyBorder="1" applyAlignment="1">
      <alignment horizontal="left" vertical="top" wrapText="1"/>
    </xf>
    <xf numFmtId="0" fontId="11" fillId="3" borderId="13" xfId="0" applyFont="1" applyFill="1" applyBorder="1" applyAlignment="1">
      <alignment horizontal="left" vertical="top" wrapText="1"/>
    </xf>
    <xf numFmtId="0" fontId="11" fillId="3" borderId="14" xfId="0" applyFont="1" applyFill="1" applyBorder="1" applyAlignment="1">
      <alignment horizontal="left" vertical="top" wrapText="1"/>
    </xf>
    <xf numFmtId="0" fontId="0" fillId="0" borderId="37" xfId="0" applyBorder="1" applyAlignment="1">
      <alignment horizontal="center"/>
    </xf>
    <xf numFmtId="0" fontId="20" fillId="6" borderId="0" xfId="2" applyFont="1" applyFill="1" applyAlignment="1">
      <alignment horizontal="left" vertical="center" indent="1"/>
    </xf>
    <xf numFmtId="0" fontId="16" fillId="4" borderId="0" xfId="2" applyFont="1" applyFill="1" applyAlignment="1">
      <alignment horizontal="center" vertical="center" wrapText="1"/>
    </xf>
    <xf numFmtId="0" fontId="19" fillId="5" borderId="0" xfId="2" applyFont="1" applyFill="1" applyAlignment="1">
      <alignment horizontal="center" vertical="center" wrapText="1"/>
    </xf>
    <xf numFmtId="0" fontId="30" fillId="12" borderId="18" xfId="2" applyFont="1" applyFill="1" applyBorder="1" applyAlignment="1">
      <alignment horizontal="left" vertical="center" wrapText="1"/>
    </xf>
    <xf numFmtId="0" fontId="31" fillId="13" borderId="19" xfId="2" applyFont="1" applyFill="1" applyBorder="1" applyAlignment="1">
      <alignment horizontal="left" vertical="center" wrapText="1"/>
    </xf>
    <xf numFmtId="0" fontId="32" fillId="13" borderId="34" xfId="2" applyFont="1" applyFill="1" applyBorder="1" applyAlignment="1">
      <alignment horizontal="center" vertical="center" wrapText="1"/>
    </xf>
    <xf numFmtId="0" fontId="40" fillId="12" borderId="19" xfId="2" applyFont="1" applyFill="1" applyBorder="1" applyAlignment="1">
      <alignment horizontal="left" vertical="top" wrapText="1"/>
    </xf>
    <xf numFmtId="0" fontId="36" fillId="4" borderId="0" xfId="2" applyFont="1" applyFill="1" applyAlignment="1">
      <alignment horizontal="center" vertical="center" wrapText="1"/>
    </xf>
    <xf numFmtId="0" fontId="35" fillId="6" borderId="0" xfId="2" applyFont="1" applyFill="1" applyAlignment="1">
      <alignment horizontal="center" vertical="center" wrapText="1"/>
    </xf>
    <xf numFmtId="0" fontId="33" fillId="9" borderId="20" xfId="2" applyFont="1" applyFill="1" applyBorder="1" applyAlignment="1">
      <alignment horizontal="left" vertical="center" wrapText="1" indent="1"/>
    </xf>
    <xf numFmtId="0" fontId="35" fillId="14" borderId="0" xfId="2" applyFont="1" applyFill="1" applyAlignment="1">
      <alignment horizontal="center" vertical="center" wrapText="1"/>
    </xf>
    <xf numFmtId="0" fontId="39" fillId="17" borderId="15" xfId="2" applyFont="1" applyFill="1" applyBorder="1" applyAlignment="1"/>
    <xf numFmtId="0" fontId="41" fillId="4" borderId="0" xfId="2" applyFont="1" applyFill="1" applyAlignment="1">
      <alignment horizontal="center" vertical="center" wrapText="1"/>
    </xf>
    <xf numFmtId="0" fontId="42" fillId="9" borderId="0" xfId="2" applyFont="1" applyFill="1" applyAlignment="1">
      <alignment horizontal="center" vertical="center" wrapText="1"/>
    </xf>
    <xf numFmtId="0" fontId="0" fillId="0" borderId="0" xfId="0" applyAlignment="1"/>
  </cellXfs>
  <cellStyles count="3">
    <cellStyle name="Hyperlink" xfId="1" builtinId="8"/>
    <cellStyle name="Normal" xfId="0" builtinId="0"/>
    <cellStyle name="Normal 2" xfId="2" xr:uid="{37D0A28D-6DA1-4EBE-97E9-3E64BA73E63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Biological Yield</a:t>
            </a:r>
          </a:p>
          <a:p>
            <a:pPr>
              <a:defRPr/>
            </a:pPr>
            <a:r>
              <a:rPr lang="en-SG"/>
              <a:t>(kg/m^2/cycle)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49-4792-A5F4-9F5280D97CA8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6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D49-4792-A5F4-9F5280D97CA8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D49-4792-A5F4-9F5280D97CA8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6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D49-4792-A5F4-9F5280D97CA8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6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D49-4792-A5F4-9F5280D97C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63939983"/>
        <c:axId val="563941423"/>
      </c:barChart>
      <c:catAx>
        <c:axId val="56393998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3941423"/>
        <c:crosses val="autoZero"/>
        <c:auto val="1"/>
        <c:lblAlgn val="ctr"/>
        <c:lblOffset val="100"/>
        <c:noMultiLvlLbl val="0"/>
      </c:catAx>
      <c:valAx>
        <c:axId val="56394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39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Cycle Length</a:t>
            </a:r>
          </a:p>
          <a:p>
            <a:pPr>
              <a:defRPr/>
            </a:pPr>
            <a:r>
              <a:rPr lang="en-SG"/>
              <a:t>(Days)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FE-46EE-95EB-6A28B04A8602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6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FE-46EE-95EB-6A28B04A8602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98FE-46EE-95EB-6A28B04A8602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6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98FE-46EE-95EB-6A28B04A8602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6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98FE-46EE-95EB-6A28B04A86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49875567"/>
        <c:axId val="649876047"/>
      </c:barChart>
      <c:catAx>
        <c:axId val="6498755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9876047"/>
        <c:crosses val="autoZero"/>
        <c:auto val="1"/>
        <c:lblAlgn val="ctr"/>
        <c:lblOffset val="100"/>
        <c:noMultiLvlLbl val="0"/>
      </c:catAx>
      <c:valAx>
        <c:axId val="64987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75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Optimised</a:t>
            </a:r>
            <a:r>
              <a:rPr lang="en-SG" baseline="0"/>
              <a:t> Energy Intensity</a:t>
            </a:r>
          </a:p>
          <a:p>
            <a:pPr>
              <a:defRPr/>
            </a:pPr>
            <a:r>
              <a:rPr lang="en-SG" baseline="0"/>
              <a:t>(kWh/kg)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6EF-42D0-9A22-BF7262D4DC04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6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6EF-42D0-9A22-BF7262D4DC04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96EF-42D0-9A22-BF7262D4DC04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6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96EF-42D0-9A22-BF7262D4DC04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6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96EF-42D0-9A22-BF7262D4DC0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81923951"/>
        <c:axId val="581932591"/>
      </c:barChart>
      <c:catAx>
        <c:axId val="5819239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1932591"/>
        <c:crosses val="autoZero"/>
        <c:auto val="1"/>
        <c:lblAlgn val="ctr"/>
        <c:lblOffset val="100"/>
        <c:noMultiLvlLbl val="0"/>
      </c:catAx>
      <c:valAx>
        <c:axId val="58193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23951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Calculated Wholesale Price</a:t>
            </a:r>
          </a:p>
          <a:p>
            <a:pPr>
              <a:defRPr/>
            </a:pPr>
            <a:r>
              <a:rPr lang="en-SG"/>
              <a:t>(S$/kg)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E03-47E9-AAA9-043376B237A5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6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E03-47E9-AAA9-043376B237A5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E03-47E9-AAA9-043376B237A5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6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E03-47E9-AAA9-043376B237A5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6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E03-47E9-AAA9-043376B237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63917423"/>
        <c:axId val="563928943"/>
      </c:barChart>
      <c:catAx>
        <c:axId val="5639174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3928943"/>
        <c:crosses val="autoZero"/>
        <c:auto val="1"/>
        <c:lblAlgn val="ctr"/>
        <c:lblOffset val="100"/>
        <c:noMultiLvlLbl val="0"/>
      </c:catAx>
      <c:valAx>
        <c:axId val="56392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17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SG" sz="1600" b="1">
                <a:solidFill>
                  <a:schemeClr val="tx1"/>
                </a:solidFill>
              </a:rPr>
              <a:t>Retail Benchmark</a:t>
            </a:r>
          </a:p>
          <a:p>
            <a:pPr>
              <a:defRPr sz="1600" b="1">
                <a:solidFill>
                  <a:schemeClr val="tx1"/>
                </a:solidFill>
              </a:defRPr>
            </a:pPr>
            <a:r>
              <a:rPr lang="en-SG" sz="1600" b="1">
                <a:solidFill>
                  <a:schemeClr val="tx1"/>
                </a:solidFill>
              </a:rPr>
              <a:t>(S$/kg)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tint val="54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71F-463A-A9AD-0D44953E6227}"/>
            </c:ext>
          </c:extLst>
        </c:ser>
        <c:ser>
          <c:idx val="1"/>
          <c:order val="1"/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71F-463A-A9AD-0D44953E6227}"/>
            </c:ext>
          </c:extLst>
        </c:ser>
        <c:ser>
          <c:idx val="2"/>
          <c:order val="2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71F-463A-A9AD-0D44953E6227}"/>
            </c:ext>
          </c:extLst>
        </c:ser>
        <c:ser>
          <c:idx val="3"/>
          <c:order val="3"/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71F-463A-A9AD-0D44953E6227}"/>
            </c:ext>
          </c:extLst>
        </c:ser>
        <c:ser>
          <c:idx val="4"/>
          <c:order val="4"/>
          <c:spPr>
            <a:solidFill>
              <a:schemeClr val="accent6">
                <a:shade val="53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71F-463A-A9AD-0D44953E62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4991407"/>
        <c:axId val="614989487"/>
      </c:barChart>
      <c:catAx>
        <c:axId val="6149914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4989487"/>
        <c:crosses val="autoZero"/>
        <c:auto val="1"/>
        <c:lblAlgn val="ctr"/>
        <c:lblOffset val="100"/>
        <c:noMultiLvlLbl val="0"/>
      </c:catAx>
      <c:valAx>
        <c:axId val="614989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991407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SG" sz="1600" b="1">
                <a:solidFill>
                  <a:schemeClr val="tx1"/>
                </a:solidFill>
              </a:rPr>
              <a:t>Lighting Rate</a:t>
            </a:r>
          </a:p>
          <a:p>
            <a:pPr>
              <a:defRPr sz="1600" b="1">
                <a:solidFill>
                  <a:schemeClr val="tx1"/>
                </a:solidFill>
              </a:defRPr>
            </a:pPr>
            <a:r>
              <a:rPr lang="en-SG" sz="1600" b="1">
                <a:solidFill>
                  <a:schemeClr val="tx1"/>
                </a:solidFill>
              </a:rPr>
              <a:t>(S$/kWh)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tint val="54000"/>
              </a:schemeClr>
            </a:solidFill>
            <a:ln>
              <a:noFill/>
            </a:ln>
            <a:effectLst/>
          </c:spPr>
          <c:invertIfNegative val="0"/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6C1-49E9-8F93-434C874DACE5}"/>
            </c:ext>
          </c:extLst>
        </c:ser>
        <c:ser>
          <c:idx val="1"/>
          <c:order val="1"/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6C1-49E9-8F93-434C874DACE5}"/>
            </c:ext>
          </c:extLst>
        </c:ser>
        <c:ser>
          <c:idx val="2"/>
          <c:order val="2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56C1-49E9-8F93-434C874DACE5}"/>
            </c:ext>
          </c:extLst>
        </c:ser>
        <c:ser>
          <c:idx val="3"/>
          <c:order val="3"/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56C1-49E9-8F93-434C874DACE5}"/>
            </c:ext>
          </c:extLst>
        </c:ser>
        <c:ser>
          <c:idx val="4"/>
          <c:order val="4"/>
          <c:spPr>
            <a:solidFill>
              <a:schemeClr val="accent6">
                <a:shade val="53000"/>
              </a:schemeClr>
            </a:solidFill>
            <a:ln>
              <a:noFill/>
            </a:ln>
            <a:effectLst/>
          </c:spPr>
          <c:invertIfNegative val="0"/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56C1-49E9-8F93-434C874DA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9307695"/>
        <c:axId val="779295215"/>
      </c:barChart>
      <c:catAx>
        <c:axId val="779307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95215"/>
        <c:crosses val="autoZero"/>
        <c:auto val="1"/>
        <c:lblAlgn val="ctr"/>
        <c:lblOffset val="100"/>
        <c:noMultiLvlLbl val="0"/>
      </c:catAx>
      <c:valAx>
        <c:axId val="77929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307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Vol.of Water Used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37-4CD2-9C00-8C94293AFF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6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(Visualisations)'!#REF!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'Data (Visualisations)'!#REF!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37-4CD2-9C00-8C94293AFF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756195472"/>
        <c:axId val="1756206992"/>
      </c:barChart>
      <c:catAx>
        <c:axId val="175619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206992"/>
        <c:crosses val="autoZero"/>
        <c:auto val="1"/>
        <c:lblAlgn val="ctr"/>
        <c:lblOffset val="100"/>
        <c:noMultiLvlLbl val="0"/>
      </c:catAx>
      <c:valAx>
        <c:axId val="175620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19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10-4931-803D-22C32DA46CEB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10-4931-803D-22C32DA46CEB}"/>
              </c:ext>
            </c:extLst>
          </c:dPt>
          <c:val>
            <c:numRef>
              <c:f>'0_Model_Dashboard (old)'!$Z$11:$Z$12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4D-44B6-B6C7-C40809C5A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SG" sz="1800" b="1" strike="noStrike" spc="-1">
                <a:solidFill>
                  <a:srgbClr val="000000"/>
                </a:solidFill>
                <a:latin typeface="Calibri"/>
              </a:rPr>
              <a:t>SFA 30% Mandate Compliance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 w="9360">
              <a:solidFill>
                <a:srgbClr val="F9F9F9"/>
              </a:solidFill>
              <a:round/>
            </a:ln>
          </c:spPr>
          <c:dPt>
            <c:idx val="0"/>
            <c:bubble3D val="0"/>
            <c:spPr>
              <a:solidFill>
                <a:srgbClr val="2E7D52"/>
              </a:solidFill>
              <a:ln w="9360">
                <a:solidFill>
                  <a:srgbClr val="F9F9F9"/>
                </a:solidFill>
                <a:round/>
              </a:ln>
            </c:spPr>
            <c:extLst>
              <c:ext xmlns:c16="http://schemas.microsoft.com/office/drawing/2014/chart" uri="{C3380CC4-5D6E-409C-BE32-E72D297353CC}">
                <c16:uniqueId val="{00000001-46C2-4DEC-8E8B-4E88D717B775}"/>
              </c:ext>
            </c:extLst>
          </c:dPt>
          <c:dPt>
            <c:idx val="1"/>
            <c:bubble3D val="0"/>
            <c:spPr>
              <a:solidFill>
                <a:srgbClr val="E0E0E0"/>
              </a:solidFill>
              <a:ln w="9360">
                <a:solidFill>
                  <a:srgbClr val="F9F9F9"/>
                </a:solidFill>
                <a:round/>
              </a:ln>
            </c:spPr>
            <c:extLst>
              <c:ext xmlns:c16="http://schemas.microsoft.com/office/drawing/2014/chart" uri="{C3380CC4-5D6E-409C-BE32-E72D297353CC}">
                <c16:uniqueId val="{00000003-46C2-4DEC-8E8B-4E88D717B775}"/>
              </c:ext>
            </c:extLst>
          </c:dPt>
          <c:dLbls>
            <c:dLbl>
              <c:idx val="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C2-4DEC-8E8B-4E88D717B775}"/>
                </c:ext>
              </c:extLst>
            </c:dLbl>
            <c:dLbl>
              <c:idx val="1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C2-4DEC-8E8B-4E88D717B7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'Claude 0_Model_Dashboard'!$Z$11:$Z$12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C2-4DEC-8E8B-4E88D717B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 rtl="0"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SG" sz="1800" b="1" strike="noStrike" spc="-1">
                <a:solidFill>
                  <a:srgbClr val="000000"/>
                </a:solidFill>
                <a:latin typeface="Calibri"/>
              </a:rPr>
              <a:t>Revenue → Net Profit Bridge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'Claude 0_Model_Dashboard'!$AE$1</c:f>
              <c:strCache>
                <c:ptCount val="1"/>
                <c:pt idx="0">
                  <c:v>Value (S$)</c:v>
                </c:pt>
              </c:strCache>
            </c:strRef>
          </c:tx>
          <c:spPr>
            <a:solidFill>
              <a:srgbClr val="4F81BD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'Claude 0_Model_Dashboard'!$AD$2:$AD$4</c:f>
              <c:strCache>
                <c:ptCount val="3"/>
                <c:pt idx="0">
                  <c:v>Total Gross Revenue</c:v>
                </c:pt>
                <c:pt idx="1">
                  <c:v>Energy Costs</c:v>
                </c:pt>
                <c:pt idx="2">
                  <c:v>Total Net Profit</c:v>
                </c:pt>
              </c:strCache>
            </c:strRef>
          </c:cat>
          <c:val>
            <c:numRef>
              <c:f>'Claude 0_Model_Dashboard'!$AE$2:$AE$4</c:f>
              <c:numCache>
                <c:formatCode>"S$"#,##0.00</c:formatCode>
                <c:ptCount val="3"/>
                <c:pt idx="0">
                  <c:v>91066.271584008107</c:v>
                </c:pt>
                <c:pt idx="1">
                  <c:v>-9876.2679167341448</c:v>
                </c:pt>
                <c:pt idx="2">
                  <c:v>81190.003667273966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5-4663-A98F-CA405EB51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91256"/>
        <c:axId val="16827609"/>
      </c:barChart>
      <c:catAx>
        <c:axId val="34291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6827609"/>
        <c:crosses val="autoZero"/>
        <c:auto val="1"/>
        <c:lblAlgn val="ctr"/>
        <c:lblOffset val="100"/>
        <c:noMultiLvlLbl val="0"/>
      </c:catAx>
      <c:valAx>
        <c:axId val="1682760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SG" sz="1000" b="1" strike="noStrike" spc="-1">
                    <a:solidFill>
                      <a:srgbClr val="000000"/>
                    </a:solidFill>
                    <a:latin typeface="Calibri"/>
                  </a:rPr>
                  <a:t>S$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&quot;S$&quot;#,##0.0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4291256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Chart Title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Chart Title</a:t>
          </a:r>
        </a:p>
      </cx:txPr>
    </cx:title>
    <cx:plotArea>
      <cx:plotAreaRegion>
        <cx:series layoutId="waterfall" uniqueId="{B5FAC650-4ED8-4772-A755-EF1281DCF4AF}">
          <cx:tx>
            <cx:txData>
              <cx:f>_xlchart.v1.1</cx:f>
              <cx:v>Value</cx:v>
            </cx:txData>
          </cx:tx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/>
              </a:p>
            </cx:txPr>
            <cx:visibility seriesName="0" categoryName="0" value="1"/>
          </cx:dataLabels>
          <cx:dataId val="0"/>
          <cx:layoutPr>
            <cx:subtotals>
              <cx:idx val="2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31" fmlaLink="$J$3" horiz="1" max="10000" page="0" val="4345"/>
</file>

<file path=xl/ctrlProps/ctrlProp3.xml><?xml version="1.0" encoding="utf-8"?>
<formControlPr xmlns="http://schemas.microsoft.com/office/spreadsheetml/2009/9/main" objectType="Scroll" dx="31" fmlaLink="$J$4" horiz="1" max="10000" page="0" val="2027"/>
</file>

<file path=xl/ctrlProps/ctrlProp4.xml><?xml version="1.0" encoding="utf-8"?>
<formControlPr xmlns="http://schemas.microsoft.com/office/spreadsheetml/2009/9/main" objectType="Scroll" dx="31" fmlaLink="$C$6" horiz="1" max="10000" page="0" val="1000"/>
</file>

<file path=xl/ctrlProps/ctrlProp5.xml><?xml version="1.0" encoding="utf-8"?>
<formControlPr xmlns="http://schemas.microsoft.com/office/spreadsheetml/2009/9/main" objectType="Scroll" dx="31" fmlaLink="$J$5" horiz="1" max="100" page="0" val="62"/>
</file>

<file path=xl/ctrlProps/ctrlProp6.xml><?xml version="1.0" encoding="utf-8"?>
<formControlPr xmlns="http://schemas.microsoft.com/office/spreadsheetml/2009/9/main" objectType="Drop" dropLines="5" dropStyle="combo" dx="31" fmlaLink="$W$8" fmlaRange="#REF!" noThreeD="1" sel="0" val="0"/>
</file>

<file path=xl/ctrlProps/ctrlProp7.xml><?xml version="1.0" encoding="utf-8"?>
<formControlPr xmlns="http://schemas.microsoft.com/office/spreadsheetml/2009/9/main" objectType="Scroll" dx="39" fmlaLink="$Z$8" horiz="1" inc="5" max="5000" page="10" val="1937"/>
</file>

<file path=xl/ctrlProps/ctrlProp8.xml><?xml version="1.0" encoding="utf-8"?>
<formControlPr xmlns="http://schemas.microsoft.com/office/spreadsheetml/2009/9/main" objectType="Scroll" dx="39" fmlaLink="$Z$9" horiz="1" inc="5" max="5000" page="10" val="1627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82550</xdr:colOff>
          <xdr:row>3</xdr:row>
          <xdr:rowOff>82550</xdr:rowOff>
        </xdr:from>
        <xdr:to>
          <xdr:col>5</xdr:col>
          <xdr:colOff>514350</xdr:colOff>
          <xdr:row>12</xdr:row>
          <xdr:rowOff>158750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63500</xdr:rowOff>
        </xdr:from>
        <xdr:to>
          <xdr:col>4</xdr:col>
          <xdr:colOff>190500</xdr:colOff>
          <xdr:row>2</xdr:row>
          <xdr:rowOff>317500</xdr:rowOff>
        </xdr:to>
        <xdr:sp macro="" textlink="">
          <xdr:nvSpPr>
            <xdr:cNvPr id="9223" name="Scroll Bar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</xdr:row>
          <xdr:rowOff>57150</xdr:rowOff>
        </xdr:from>
        <xdr:to>
          <xdr:col>4</xdr:col>
          <xdr:colOff>190500</xdr:colOff>
          <xdr:row>3</xdr:row>
          <xdr:rowOff>311150</xdr:rowOff>
        </xdr:to>
        <xdr:sp macro="" textlink="">
          <xdr:nvSpPr>
            <xdr:cNvPr id="9225" name="Scroll Bar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5</xdr:row>
          <xdr:rowOff>57150</xdr:rowOff>
        </xdr:from>
        <xdr:to>
          <xdr:col>4</xdr:col>
          <xdr:colOff>184150</xdr:colOff>
          <xdr:row>5</xdr:row>
          <xdr:rowOff>311150</xdr:rowOff>
        </xdr:to>
        <xdr:sp macro="" textlink="">
          <xdr:nvSpPr>
            <xdr:cNvPr id="9226" name="Scroll Bar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4</xdr:row>
          <xdr:rowOff>57150</xdr:rowOff>
        </xdr:from>
        <xdr:to>
          <xdr:col>4</xdr:col>
          <xdr:colOff>196850</xdr:colOff>
          <xdr:row>4</xdr:row>
          <xdr:rowOff>311150</xdr:rowOff>
        </xdr:to>
        <xdr:sp macro="" textlink="">
          <xdr:nvSpPr>
            <xdr:cNvPr id="9227" name="Scroll Bar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6</xdr:row>
          <xdr:rowOff>44450</xdr:rowOff>
        </xdr:from>
        <xdr:to>
          <xdr:col>24</xdr:col>
          <xdr:colOff>6350</xdr:colOff>
          <xdr:row>8</xdr:row>
          <xdr:rowOff>0</xdr:rowOff>
        </xdr:to>
        <xdr:sp macro="" textlink="">
          <xdr:nvSpPr>
            <xdr:cNvPr id="18438" name="Drop Dow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428007</xdr:colOff>
      <xdr:row>6</xdr:row>
      <xdr:rowOff>45357</xdr:rowOff>
    </xdr:from>
    <xdr:to>
      <xdr:col>9</xdr:col>
      <xdr:colOff>251939</xdr:colOff>
      <xdr:row>21</xdr:row>
      <xdr:rowOff>46512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EE3B73E-E24C-4F17-A876-1056F6722E7A}"/>
            </a:ext>
            <a:ext uri="{147F2762-F138-4A5C-976F-8EAC2B608ADB}">
              <a16:predDERef xmlns:a16="http://schemas.microsoft.com/office/drawing/2014/main" pred="{00000000-0008-0000-0100-000006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67211</xdr:colOff>
      <xdr:row>6</xdr:row>
      <xdr:rowOff>33811</xdr:rowOff>
    </xdr:from>
    <xdr:to>
      <xdr:col>19</xdr:col>
      <xdr:colOff>344302</xdr:colOff>
      <xdr:row>21</xdr:row>
      <xdr:rowOff>34966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EF6022F-80BA-4D42-B390-337F5A982627}"/>
            </a:ext>
            <a:ext uri="{147F2762-F138-4A5C-976F-8EAC2B608ADB}">
              <a16:predDERef xmlns:a16="http://schemas.microsoft.com/office/drawing/2014/main" pred="{BEE3B73E-E24C-4F17-A876-1056F6722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25</xdr:row>
      <xdr:rowOff>86591</xdr:rowOff>
    </xdr:from>
    <xdr:to>
      <xdr:col>9</xdr:col>
      <xdr:colOff>274205</xdr:colOff>
      <xdr:row>40</xdr:row>
      <xdr:rowOff>145472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A93D05E-898D-43C7-A8BB-32BB6E9E04EF}"/>
            </a:ext>
            <a:ext uri="{147F2762-F138-4A5C-976F-8EAC2B608ADB}">
              <a16:predDERef xmlns:a16="http://schemas.microsoft.com/office/drawing/2014/main" pred="{DEF6022F-80BA-4D42-B390-337F5A9826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473364</xdr:colOff>
      <xdr:row>44</xdr:row>
      <xdr:rowOff>132773</xdr:rowOff>
    </xdr:from>
    <xdr:to>
      <xdr:col>9</xdr:col>
      <xdr:colOff>294410</xdr:colOff>
      <xdr:row>60</xdr:row>
      <xdr:rowOff>6927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7DFAE781-03DA-4F7F-AE01-D71163994253}"/>
            </a:ext>
            <a:ext uri="{147F2762-F138-4A5C-976F-8EAC2B608ADB}">
              <a16:predDERef xmlns:a16="http://schemas.microsoft.com/office/drawing/2014/main" pred="{DA93D05E-898D-43C7-A8BB-32BB6E9E0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112569</xdr:colOff>
      <xdr:row>25</xdr:row>
      <xdr:rowOff>75046</xdr:rowOff>
    </xdr:from>
    <xdr:to>
      <xdr:col>19</xdr:col>
      <xdr:colOff>389660</xdr:colOff>
      <xdr:row>40</xdr:row>
      <xdr:rowOff>133927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37E9730-6929-49B8-91EC-7B48C9F2323D}"/>
            </a:ext>
            <a:ext uri="{147F2762-F138-4A5C-976F-8EAC2B608ADB}">
              <a16:predDERef xmlns:a16="http://schemas.microsoft.com/office/drawing/2014/main" pred="{7DFAE781-03DA-4F7F-AE01-D711639942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95972</xdr:colOff>
      <xdr:row>45</xdr:row>
      <xdr:rowOff>3608</xdr:rowOff>
    </xdr:from>
    <xdr:to>
      <xdr:col>19</xdr:col>
      <xdr:colOff>384609</xdr:colOff>
      <xdr:row>59</xdr:row>
      <xdr:rowOff>160627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B4DB781-D3D4-4245-ADAD-8809A9290B7C}"/>
            </a:ext>
            <a:ext uri="{147F2762-F138-4A5C-976F-8EAC2B608ADB}">
              <a16:predDERef xmlns:a16="http://schemas.microsoft.com/office/drawing/2014/main" pred="{A66C8102-1436-4AE3-8A4F-9B60BF0C3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74841</xdr:colOff>
      <xdr:row>63</xdr:row>
      <xdr:rowOff>83910</xdr:rowOff>
    </xdr:from>
    <xdr:to>
      <xdr:col>16</xdr:col>
      <xdr:colOff>190501</xdr:colOff>
      <xdr:row>86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4B18CB-1F59-44C5-9F9A-C42850F034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102466</xdr:colOff>
      <xdr:row>6</xdr:row>
      <xdr:rowOff>212292</xdr:rowOff>
    </xdr:from>
    <xdr:to>
      <xdr:col>20</xdr:col>
      <xdr:colOff>128443</xdr:colOff>
      <xdr:row>19</xdr:row>
      <xdr:rowOff>25833</xdr:rowOff>
    </xdr:to>
    <xdr:grpSp>
      <xdr:nvGrpSpPr>
        <xdr:cNvPr id="2" name="Group 3">
          <a:extLst>
            <a:ext uri="{FF2B5EF4-FFF2-40B4-BE49-F238E27FC236}">
              <a16:creationId xmlns:a16="http://schemas.microsoft.com/office/drawing/2014/main" id="{1691FE67-046D-6D2E-1A7A-999A58449016}"/>
            </a:ext>
            <a:ext uri="{147F2762-F138-4A5C-976F-8EAC2B608ADB}">
              <a16:predDERef xmlns:a16="http://schemas.microsoft.com/office/drawing/2014/main" pred="{00000000-0008-0000-0400-000003080000}"/>
            </a:ext>
          </a:extLst>
        </xdr:cNvPr>
        <xdr:cNvGrpSpPr/>
      </xdr:nvGrpSpPr>
      <xdr:grpSpPr>
        <a:xfrm>
          <a:off x="9684616" y="1298142"/>
          <a:ext cx="4159827" cy="2756766"/>
          <a:chOff x="10551102" y="1294678"/>
          <a:chExt cx="4572000" cy="2743200"/>
        </a:xfrm>
      </xdr:grpSpPr>
      <xdr:graphicFrame macro="">
        <xdr:nvGraphicFramePr>
          <xdr:cNvPr id="3" name="Chart 1">
            <a:extLst>
              <a:ext uri="{FF2B5EF4-FFF2-40B4-BE49-F238E27FC236}">
                <a16:creationId xmlns:a16="http://schemas.microsoft.com/office/drawing/2014/main" id="{4D3ABB43-DB2A-CDD9-7EF0-AE514C9611DD}"/>
              </a:ext>
            </a:extLst>
          </xdr:cNvPr>
          <xdr:cNvGraphicFramePr/>
        </xdr:nvGraphicFramePr>
        <xdr:xfrm>
          <a:off x="10551102" y="1294678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'0_Model_Dashboard (old)'!$Z$13">
        <xdr:nvSpPr>
          <xdr:cNvPr id="4" name="TextBox 2">
            <a:extLst>
              <a:ext uri="{FF2B5EF4-FFF2-40B4-BE49-F238E27FC236}">
                <a16:creationId xmlns:a16="http://schemas.microsoft.com/office/drawing/2014/main" id="{33646F7B-023C-DB1F-5568-1B04BB477F26}"/>
              </a:ext>
            </a:extLst>
          </xdr:cNvPr>
          <xdr:cNvSpPr txBox="1"/>
        </xdr:nvSpPr>
        <xdr:spPr>
          <a:xfrm>
            <a:off x="13941136" y="1674091"/>
            <a:ext cx="1125682" cy="52676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568DEEC-2C1D-4F87-82E5-0B9FD2AA08F7}" type="TxLink">
              <a:rPr lang="en-US" sz="11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201% Compliant</a:t>
            </a:fld>
            <a:endParaRPr lang="en-SG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393700</xdr:rowOff>
        </xdr:from>
        <xdr:to>
          <xdr:col>11</xdr:col>
          <xdr:colOff>38100</xdr:colOff>
          <xdr:row>7</xdr:row>
          <xdr:rowOff>152400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8</xdr:row>
          <xdr:rowOff>38100</xdr:rowOff>
        </xdr:from>
        <xdr:to>
          <xdr:col>11</xdr:col>
          <xdr:colOff>12700</xdr:colOff>
          <xdr:row>9</xdr:row>
          <xdr:rowOff>25400</xdr:rowOff>
        </xdr:to>
        <xdr:sp macro="" textlink="">
          <xdr:nvSpPr>
            <xdr:cNvPr id="2051" name="Scroll Ba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152977</xdr:colOff>
      <xdr:row>20</xdr:row>
      <xdr:rowOff>53541</xdr:rowOff>
    </xdr:from>
    <xdr:to>
      <xdr:col>20</xdr:col>
      <xdr:colOff>178954</xdr:colOff>
      <xdr:row>35</xdr:row>
      <xdr:rowOff>90774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4">
              <a:extLst>
                <a:ext uri="{FF2B5EF4-FFF2-40B4-BE49-F238E27FC236}">
                  <a16:creationId xmlns:a16="http://schemas.microsoft.com/office/drawing/2014/main" id="{07F062B7-252E-369C-E95D-82BDE4570569}"/>
                </a:ext>
                <a:ext uri="{147F2762-F138-4A5C-976F-8EAC2B608ADB}">
                  <a16:predDERef xmlns:a16="http://schemas.microsoft.com/office/drawing/2014/main" pred="{1691FE67-046D-6D2E-1A7A-999A584490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4</xdr:col>
      <xdr:colOff>639360</xdr:colOff>
      <xdr:row>12</xdr:row>
      <xdr:rowOff>218160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CF7810-D7A5-4C1D-8D3D-FFF39F32E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131034</xdr:colOff>
      <xdr:row>21</xdr:row>
      <xdr:rowOff>301272</xdr:rowOff>
    </xdr:from>
    <xdr:to>
      <xdr:col>5</xdr:col>
      <xdr:colOff>1</xdr:colOff>
      <xdr:row>37</xdr:row>
      <xdr:rowOff>179390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C57AE55D-6749-49DB-AED2-17BE1997B1E2}"/>
            </a:ext>
            <a:ext uri="{147F2762-F138-4A5C-976F-8EAC2B608ADB}">
              <a16:predDERef xmlns:a16="http://schemas.microsoft.com/office/drawing/2014/main" pred="{4ACF7810-D7A5-4C1D-8D3D-FFF39F32E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m\Downloads\VF_EYT_Optimiser_COR1305_v2.xlsx" TargetMode="External"/><Relationship Id="rId1" Type="http://schemas.openxmlformats.org/officeDocument/2006/relationships/externalLinkPath" Target="file:///C:\Users\sam\Downloads\VF_EYT_Optimiser_COR1305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0_Model_Dashboard"/>
      <sheetName val="Sensitivity Report 1"/>
      <sheetName val="1_Optimization_Engine"/>
      <sheetName val="2_Crop_Parameters"/>
    </sheetNames>
    <sheetDataSet>
      <sheetData sheetId="0">
        <row r="1">
          <cell r="AE1" t="str">
            <v>Value (S$)</v>
          </cell>
        </row>
        <row r="8">
          <cell r="I8">
            <v>0.36849999999999999</v>
          </cell>
        </row>
        <row r="9">
          <cell r="I9">
            <v>0.20050000000000001</v>
          </cell>
        </row>
        <row r="10">
          <cell r="I10">
            <v>0.69</v>
          </cell>
        </row>
        <row r="11">
          <cell r="I11">
            <v>1000</v>
          </cell>
        </row>
      </sheetData>
      <sheetData sheetId="1"/>
      <sheetData sheetId="2">
        <row r="3">
          <cell r="B3">
            <v>432.5236167341431</v>
          </cell>
          <cell r="D3">
            <v>3205.0000000000005</v>
          </cell>
          <cell r="E3">
            <v>70766.400000000009</v>
          </cell>
          <cell r="F3">
            <v>9130.3826333333345</v>
          </cell>
          <cell r="G3">
            <v>61636.017366666674</v>
          </cell>
        </row>
        <row r="4">
          <cell r="B4">
            <v>567.47638326585695</v>
          </cell>
          <cell r="D4">
            <v>1489.6255060728745</v>
          </cell>
          <cell r="E4">
            <v>20299.871584008095</v>
          </cell>
          <cell r="F4">
            <v>745.88528340080973</v>
          </cell>
          <cell r="G4">
            <v>19553.986300607285</v>
          </cell>
        </row>
        <row r="5">
          <cell r="B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B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B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10">
          <cell r="C10">
            <v>1000</v>
          </cell>
        </row>
        <row r="12">
          <cell r="C12">
            <v>1877.8502024291499</v>
          </cell>
        </row>
        <row r="13">
          <cell r="C13">
            <v>81190.003667273966</v>
          </cell>
        </row>
        <row r="28">
          <cell r="C28" t="str">
            <v>⚠  Link manually to 'Sensitivity Report X'!E25 after each Solver run</v>
          </cell>
        </row>
      </sheetData>
      <sheetData sheetId="3">
        <row r="7">
          <cell r="G7">
            <v>9.8800000000000008</v>
          </cell>
          <cell r="I7">
            <v>7.51</v>
          </cell>
          <cell r="L7">
            <v>22.08</v>
          </cell>
          <cell r="M7">
            <v>3200</v>
          </cell>
          <cell r="N7">
            <v>3205</v>
          </cell>
          <cell r="P7">
            <v>0.28449999999999998</v>
          </cell>
        </row>
        <row r="8">
          <cell r="G8">
            <v>3.5</v>
          </cell>
          <cell r="I8">
            <v>1.32</v>
          </cell>
          <cell r="L8">
            <v>13.6275</v>
          </cell>
          <cell r="M8">
            <v>500</v>
          </cell>
          <cell r="N8">
            <v>999999</v>
          </cell>
          <cell r="P8">
            <v>0.28449999999999998</v>
          </cell>
        </row>
        <row r="9">
          <cell r="G9">
            <v>1.85</v>
          </cell>
          <cell r="I9">
            <v>7.51</v>
          </cell>
          <cell r="L9">
            <v>31.74</v>
          </cell>
          <cell r="N9">
            <v>1000</v>
          </cell>
          <cell r="P9">
            <v>0.28449999999999998</v>
          </cell>
        </row>
        <row r="10">
          <cell r="G10">
            <v>3.5</v>
          </cell>
          <cell r="I10">
            <v>1.32</v>
          </cell>
          <cell r="L10">
            <v>13.6275</v>
          </cell>
          <cell r="N10">
            <v>500</v>
          </cell>
          <cell r="P10">
            <v>0.23410000000000003</v>
          </cell>
        </row>
        <row r="11">
          <cell r="G11">
            <v>3.5</v>
          </cell>
          <cell r="I11">
            <v>1.32</v>
          </cell>
          <cell r="L11">
            <v>13.6275</v>
          </cell>
          <cell r="N11">
            <v>500</v>
          </cell>
          <cell r="P11">
            <v>0.23410000000000003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525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BFCD547-0FFC-4746-8CB8-76CD3B7B432D}">
  <we:reference id="wa104100404" version="3.0.0.1" store="en-US" storeType="omex"/>
  <we:alternateReferences>
    <we:reference id="wa104100404" version="3.0.0.1" store="en-US" storeType="omex"/>
  </we:alternateReferences>
  <we:properties>
    <we:property name="UniqueID" value="&quot;20262251774418157266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AA444FC7-4BEF-40D2-BD72-8E8E16AD6E3F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dbs.com/content/article/pdf/AIO/062025/250610_insights_modern_grocery_retail_supermarket_shake_up_or_savvy_break_up.pdf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www.senokoenergy.com/households/promotions/lifesavvy24" TargetMode="External"/><Relationship Id="rId1" Type="http://schemas.openxmlformats.org/officeDocument/2006/relationships/hyperlink" Target="https://www.senokoenergy.com/households/promotions/lifesavvy24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raitstimes.com/singapore/environment/worlds-tallest-indoor-vertical-farm-opens-in-singapore" TargetMode="External"/><Relationship Id="rId2" Type="http://schemas.openxmlformats.org/officeDocument/2006/relationships/hyperlink" Target="https://www.straitstimes.com/singapore/environment/worlds-tallest-indoor-vertical-farm-opens-in-singapore" TargetMode="External"/><Relationship Id="rId1" Type="http://schemas.openxmlformats.org/officeDocument/2006/relationships/hyperlink" Target="https://www.straitstimes.com/singapore/environment/worlds-tallest-indoor-vertical-farm-opens-in-singapore" TargetMode="External"/><Relationship Id="rId4" Type="http://schemas.openxmlformats.org/officeDocument/2006/relationships/hyperlink" Target="https://www.ecosperity.sg/content/dam/ecosperity-aem/en/reports/Ecosperity_Can-Companies-Do-Well-and-Do-Good_Jan2019.pdf.coredownload.pdf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raitstimes.com/singapore/environment/worlds-tallest-indoor-vertical-farm-opens-in-singapore" TargetMode="External"/><Relationship Id="rId2" Type="http://schemas.openxmlformats.org/officeDocument/2006/relationships/hyperlink" Target="https://www.ecosperity.sg/content/dam/ecosperity-aem/en/reports/Environmental-Impact-of-Key-Food-Items-in-Singapore_Oct2019.pdf" TargetMode="External"/><Relationship Id="rId1" Type="http://schemas.openxmlformats.org/officeDocument/2006/relationships/hyperlink" Target="https://www.straitstimes.com/singapore/environment/worlds-tallest-indoor-vertical-farm-opens-in-singapore" TargetMode="External"/><Relationship Id="rId6" Type="http://schemas.openxmlformats.org/officeDocument/2006/relationships/hyperlink" Target="https://www.dbs.com/content/article/pdf/AIO/062025/250610_insights_modern_grocery_retail_supermarket_shake_up_or_savvy_break_up.pdf" TargetMode="External"/><Relationship Id="rId5" Type="http://schemas.openxmlformats.org/officeDocument/2006/relationships/hyperlink" Target="https://www.senokoenergy.com/households/promotions/lifesavvy24" TargetMode="External"/><Relationship Id="rId4" Type="http://schemas.openxmlformats.org/officeDocument/2006/relationships/hyperlink" Target="https://www.ecosperity.sg/content/dam/ecosperity-aem/en/reports/Ecosperity_Can-Companies-Do-Well-and-Do-Good_Jan2019.pdf.coredownload.pdf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1884-7563-4FD4-8BFF-4C2DDEDF7FAB}">
  <sheetPr codeName="Sheet9"/>
  <dimension ref="A1"/>
  <sheetViews>
    <sheetView showGridLines="0" tabSelected="1" zoomScale="85" zoomScaleNormal="85" workbookViewId="0">
      <selection activeCell="D18" sqref="D18"/>
    </sheetView>
  </sheetViews>
  <sheetFormatPr defaultColWidth="8.7109375" defaultRowHeight="14.45"/>
  <cols>
    <col min="1" max="16384" width="8.7109375" style="108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Visualisations">
                <anchor moveWithCells="1" sizeWithCells="1">
                  <from>
                    <xdr:col>1</xdr:col>
                    <xdr:colOff>82550</xdr:colOff>
                    <xdr:row>3</xdr:row>
                    <xdr:rowOff>82550</xdr:rowOff>
                  </from>
                  <to>
                    <xdr:col>5</xdr:col>
                    <xdr:colOff>514350</xdr:colOff>
                    <xdr:row>12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069B-DB34-45F9-883C-FBA7932E7EBC}">
  <sheetPr codeName="Sheet10">
    <tabColor theme="6" tint="0.79998168889431442"/>
  </sheetPr>
  <dimension ref="B2:N16"/>
  <sheetViews>
    <sheetView topLeftCell="B1" zoomScale="85" zoomScaleNormal="85" workbookViewId="0">
      <selection activeCell="I6" sqref="I6"/>
    </sheetView>
  </sheetViews>
  <sheetFormatPr defaultColWidth="8.7109375" defaultRowHeight="14.45"/>
  <cols>
    <col min="1" max="1" width="8.7109375" style="107"/>
    <col min="2" max="2" width="31.28515625" style="107" bestFit="1" customWidth="1"/>
    <col min="3" max="3" width="9.42578125" style="107" bestFit="1" customWidth="1"/>
    <col min="4" max="16384" width="8.7109375" style="107"/>
  </cols>
  <sheetData>
    <row r="2" spans="2:14" ht="19.5">
      <c r="B2" s="125" t="s">
        <v>0</v>
      </c>
    </row>
    <row r="3" spans="2:14" ht="32.450000000000003" customHeight="1">
      <c r="B3" s="126" t="s">
        <v>1</v>
      </c>
      <c r="C3" s="127">
        <f>$J$3/10000</f>
        <v>0.4345</v>
      </c>
      <c r="J3" s="106">
        <v>4345</v>
      </c>
    </row>
    <row r="4" spans="2:14" ht="30" customHeight="1">
      <c r="B4" s="126" t="s">
        <v>2</v>
      </c>
      <c r="C4" s="127">
        <f>$J$4/10000</f>
        <v>0.20269999999999999</v>
      </c>
      <c r="J4" s="106">
        <v>2027</v>
      </c>
    </row>
    <row r="5" spans="2:14" ht="30" customHeight="1">
      <c r="B5" s="126" t="s">
        <v>3</v>
      </c>
      <c r="C5" s="128">
        <f>$J$5/100</f>
        <v>0.62</v>
      </c>
      <c r="J5" s="106">
        <v>62</v>
      </c>
    </row>
    <row r="6" spans="2:14" ht="30" customHeight="1">
      <c r="B6" s="126" t="s">
        <v>4</v>
      </c>
      <c r="C6" s="128">
        <v>1000</v>
      </c>
    </row>
    <row r="16" spans="2:14">
      <c r="N16" s="107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3" name="Scroll Bar 7">
              <controlPr defaultSize="0" autoPict="0">
                <anchor moveWithCells="1">
                  <from>
                    <xdr:col>3</xdr:col>
                    <xdr:colOff>38100</xdr:colOff>
                    <xdr:row>2</xdr:row>
                    <xdr:rowOff>63500</xdr:rowOff>
                  </from>
                  <to>
                    <xdr:col>4</xdr:col>
                    <xdr:colOff>190500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4" name="Scroll Bar 9">
              <controlPr defaultSize="0" autoPict="0">
                <anchor moveWithCells="1">
                  <from>
                    <xdr:col>3</xdr:col>
                    <xdr:colOff>38100</xdr:colOff>
                    <xdr:row>3</xdr:row>
                    <xdr:rowOff>57150</xdr:rowOff>
                  </from>
                  <to>
                    <xdr:col>4</xdr:col>
                    <xdr:colOff>190500</xdr:colOff>
                    <xdr:row>3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5" name="Scroll Bar 10">
              <controlPr defaultSize="0" autoPict="0">
                <anchor moveWithCells="1">
                  <from>
                    <xdr:col>3</xdr:col>
                    <xdr:colOff>31750</xdr:colOff>
                    <xdr:row>5</xdr:row>
                    <xdr:rowOff>57150</xdr:rowOff>
                  </from>
                  <to>
                    <xdr:col>4</xdr:col>
                    <xdr:colOff>184150</xdr:colOff>
                    <xdr:row>5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6" name="Scroll Bar 11">
              <controlPr defaultSize="0" autoPict="0">
                <anchor moveWithCells="1">
                  <from>
                    <xdr:col>3</xdr:col>
                    <xdr:colOff>44450</xdr:colOff>
                    <xdr:row>4</xdr:row>
                    <xdr:rowOff>57150</xdr:rowOff>
                  </from>
                  <to>
                    <xdr:col>4</xdr:col>
                    <xdr:colOff>196850</xdr:colOff>
                    <xdr:row>4</xdr:row>
                    <xdr:rowOff>311150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0125B-B500-47C7-A59D-A604BD4C4DD7}">
  <sheetPr codeName="Sheet11">
    <tabColor theme="6" tint="0.59999389629810485"/>
  </sheetPr>
  <dimension ref="W8:X16"/>
  <sheetViews>
    <sheetView zoomScale="40" zoomScaleNormal="40" workbookViewId="0">
      <selection activeCell="W68" sqref="W68"/>
    </sheetView>
  </sheetViews>
  <sheetFormatPr defaultColWidth="8.7109375" defaultRowHeight="14.45"/>
  <cols>
    <col min="1" max="1" width="8.7109375" style="107"/>
    <col min="2" max="2" width="7.7109375" style="107" bestFit="1" customWidth="1"/>
    <col min="3" max="3" width="9.85546875" style="107" bestFit="1" customWidth="1"/>
    <col min="4" max="4" width="6.85546875" style="107" bestFit="1" customWidth="1"/>
    <col min="5" max="5" width="7.85546875" style="107" bestFit="1" customWidth="1"/>
    <col min="6" max="6" width="9.5703125" style="107" bestFit="1" customWidth="1"/>
    <col min="7" max="22" width="8.7109375" style="107"/>
    <col min="23" max="23" width="51.42578125" style="107" bestFit="1" customWidth="1"/>
    <col min="24" max="25" width="8.7109375" style="107"/>
    <col min="26" max="26" width="44.5703125" style="107" bestFit="1" customWidth="1"/>
    <col min="27" max="27" width="10.5703125" style="107" bestFit="1" customWidth="1"/>
    <col min="28" max="28" width="13.28515625" style="107" bestFit="1" customWidth="1"/>
    <col min="29" max="29" width="8.28515625" style="107" bestFit="1" customWidth="1"/>
    <col min="30" max="30" width="10.42578125" style="107" bestFit="1" customWidth="1"/>
    <col min="31" max="31" width="12.5703125" style="107" bestFit="1" customWidth="1"/>
    <col min="32" max="16384" width="8.7109375" style="107"/>
  </cols>
  <sheetData>
    <row r="8" spans="23:24" ht="19.5">
      <c r="W8" s="139">
        <v>1</v>
      </c>
    </row>
    <row r="9" spans="23:24">
      <c r="W9" s="140" t="s">
        <v>6</v>
      </c>
      <c r="X9" s="136" t="e">
        <f>_xlfn.XLOOKUP($W$8,#REF!,#REF!,"NA",0)</f>
        <v>#REF!</v>
      </c>
    </row>
    <row r="10" spans="23:24">
      <c r="W10" s="141" t="s">
        <v>7</v>
      </c>
      <c r="X10" s="136" t="e">
        <f>_xlfn.XLOOKUP($W$8,#REF!,#REF!,"NA",0)</f>
        <v>#REF!</v>
      </c>
    </row>
    <row r="11" spans="23:24">
      <c r="W11" s="141" t="s">
        <v>8</v>
      </c>
      <c r="X11" s="136" t="e">
        <f>_xlfn.XLOOKUP($W$8,#REF!,#REF!,"NA",0)</f>
        <v>#REF!</v>
      </c>
    </row>
    <row r="12" spans="23:24">
      <c r="W12" s="142" t="s">
        <v>9</v>
      </c>
      <c r="X12" s="136" t="e">
        <f>_xlfn.XLOOKUP($W$8,#REF!,#REF!,"NA",0)</f>
        <v>#REF!</v>
      </c>
    </row>
    <row r="13" spans="23:24">
      <c r="W13" s="143" t="s">
        <v>10</v>
      </c>
      <c r="X13" s="136" t="e">
        <f>_xlfn.XLOOKUP($W$8,#REF!,#REF!,"NA",0)</f>
        <v>#REF!</v>
      </c>
    </row>
    <row r="14" spans="23:24">
      <c r="W14" s="144" t="s">
        <v>11</v>
      </c>
      <c r="X14" s="136" t="e">
        <f>_xlfn.XLOOKUP($W$8,#REF!,#REF!,"NA",0)</f>
        <v>#REF!</v>
      </c>
    </row>
    <row r="15" spans="23:24">
      <c r="W15" s="145" t="s">
        <v>12</v>
      </c>
      <c r="X15" s="136" t="e">
        <f>_xlfn.XLOOKUP($W$8,#REF!,#REF!,"NA",0)</f>
        <v>#REF!</v>
      </c>
    </row>
    <row r="16" spans="23:24">
      <c r="W16" s="153" t="s">
        <v>13</v>
      </c>
      <c r="X16" s="136" t="e">
        <f>_xlfn.XLOOKUP($W$8,#REF!,#REF!,"NA",0)</f>
        <v>#REF!</v>
      </c>
    </row>
  </sheetData>
  <dataValidations count="1">
    <dataValidation type="list" allowBlank="1" showInputMessage="1" showErrorMessage="1" sqref="W8" xr:uid="{3F503153-F54A-4DF2-A0A0-1DEB30456E7F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8" r:id="rId3" name="Drop Down 6">
              <controlPr defaultSize="0" autoLine="0" autoPict="0">
                <anchor moveWithCells="1">
                  <from>
                    <xdr:col>22</xdr:col>
                    <xdr:colOff>0</xdr:colOff>
                    <xdr:row>6</xdr:row>
                    <xdr:rowOff>44450</xdr:rowOff>
                  </from>
                  <to>
                    <xdr:col>24</xdr:col>
                    <xdr:colOff>6350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B6BB0-84D1-4ED8-9785-EE35EA8F090F}">
  <sheetPr codeName="Sheet16">
    <tabColor theme="6" tint="0.39997558519241921"/>
  </sheetPr>
  <dimension ref="A3:M10"/>
  <sheetViews>
    <sheetView zoomScaleNormal="100" workbookViewId="0">
      <pane xSplit="2" topLeftCell="C1" activePane="topRight" state="frozen"/>
      <selection pane="topRight" activeCell="C4" sqref="C4"/>
    </sheetView>
  </sheetViews>
  <sheetFormatPr defaultColWidth="8.7109375" defaultRowHeight="14.45"/>
  <cols>
    <col min="1" max="1" width="1.85546875" style="107" bestFit="1" customWidth="1"/>
    <col min="2" max="2" width="9.85546875" style="107" bestFit="1" customWidth="1"/>
    <col min="3" max="3" width="29.28515625" style="107" bestFit="1" customWidth="1"/>
    <col min="4" max="4" width="19.5703125" style="107" bestFit="1" customWidth="1"/>
    <col min="5" max="5" width="34.85546875" style="107" bestFit="1" customWidth="1"/>
    <col min="6" max="6" width="22.85546875" style="107" bestFit="1" customWidth="1"/>
    <col min="7" max="7" width="26.140625" style="107" bestFit="1" customWidth="1"/>
    <col min="8" max="8" width="33.5703125" style="107" bestFit="1" customWidth="1"/>
    <col min="9" max="9" width="18.7109375" style="107" bestFit="1" customWidth="1"/>
    <col min="10" max="10" width="21.140625" style="107" bestFit="1" customWidth="1"/>
    <col min="11" max="11" width="25.140625" style="107" bestFit="1" customWidth="1"/>
    <col min="12" max="12" width="20.85546875" style="107" bestFit="1" customWidth="1"/>
    <col min="13" max="13" width="44.5703125" style="107" bestFit="1" customWidth="1"/>
    <col min="14" max="16" width="39.7109375" style="107" bestFit="1" customWidth="1"/>
    <col min="17" max="17" width="44.28515625" style="107" bestFit="1" customWidth="1"/>
    <col min="18" max="18" width="38" style="107" bestFit="1" customWidth="1"/>
    <col min="19" max="19" width="28.42578125" style="107" bestFit="1" customWidth="1"/>
    <col min="20" max="20" width="34.85546875" style="107" bestFit="1" customWidth="1"/>
    <col min="21" max="21" width="42.42578125" style="107" bestFit="1" customWidth="1"/>
    <col min="22" max="22" width="42" style="107" bestFit="1" customWidth="1"/>
    <col min="23" max="23" width="26.140625" style="107" bestFit="1" customWidth="1"/>
    <col min="24" max="24" width="32.5703125" style="107" bestFit="1" customWidth="1"/>
    <col min="25" max="25" width="40.28515625" style="107" bestFit="1" customWidth="1"/>
    <col min="26" max="26" width="44.28515625" style="107" bestFit="1" customWidth="1"/>
    <col min="27" max="27" width="28.42578125" style="107" bestFit="1" customWidth="1"/>
    <col min="28" max="28" width="34.85546875" style="107" bestFit="1" customWidth="1"/>
    <col min="29" max="29" width="42.42578125" style="107" bestFit="1" customWidth="1"/>
    <col min="30" max="30" width="32.5703125" style="107" bestFit="1" customWidth="1"/>
    <col min="31" max="31" width="40.28515625" style="107" bestFit="1" customWidth="1"/>
    <col min="32" max="32" width="42" style="107" bestFit="1" customWidth="1"/>
    <col min="33" max="33" width="32.5703125" style="107" bestFit="1" customWidth="1"/>
    <col min="34" max="34" width="40.28515625" style="107" bestFit="1" customWidth="1"/>
    <col min="35" max="35" width="44.28515625" style="107" bestFit="1" customWidth="1"/>
    <col min="36" max="36" width="34.85546875" style="107" bestFit="1" customWidth="1"/>
    <col min="37" max="37" width="42.42578125" style="107" bestFit="1" customWidth="1"/>
    <col min="38" max="38" width="7.5703125" style="107" bestFit="1" customWidth="1"/>
    <col min="39" max="39" width="8.85546875" style="107" bestFit="1" customWidth="1"/>
    <col min="40" max="40" width="7.28515625" style="107" bestFit="1" customWidth="1"/>
    <col min="41" max="41" width="9.85546875" style="107" bestFit="1" customWidth="1"/>
    <col min="42" max="42" width="8.85546875" style="107" bestFit="1" customWidth="1"/>
    <col min="43" max="43" width="9.85546875" style="107" bestFit="1" customWidth="1"/>
    <col min="44" max="44" width="7.5703125" style="107" bestFit="1" customWidth="1"/>
    <col min="45" max="45" width="8.85546875" style="107" bestFit="1" customWidth="1"/>
    <col min="46" max="46" width="7.28515625" style="107" bestFit="1" customWidth="1"/>
    <col min="47" max="47" width="9.85546875" style="107" bestFit="1" customWidth="1"/>
    <col min="48" max="48" width="8.85546875" style="107" bestFit="1" customWidth="1"/>
    <col min="49" max="49" width="9.85546875" style="107" bestFit="1" customWidth="1"/>
    <col min="50" max="50" width="7.5703125" style="107" bestFit="1" customWidth="1"/>
    <col min="51" max="51" width="8.85546875" style="107" bestFit="1" customWidth="1"/>
    <col min="52" max="52" width="7.28515625" style="107" bestFit="1" customWidth="1"/>
    <col min="53" max="53" width="9.85546875" style="107" bestFit="1" customWidth="1"/>
    <col min="54" max="54" width="8.85546875" style="107" bestFit="1" customWidth="1"/>
    <col min="55" max="55" width="9.85546875" style="107" bestFit="1" customWidth="1"/>
    <col min="56" max="56" width="8.5703125" style="107" bestFit="1" customWidth="1"/>
    <col min="57" max="57" width="8.85546875" style="107" bestFit="1" customWidth="1"/>
    <col min="58" max="59" width="7.28515625" style="107" bestFit="1" customWidth="1"/>
    <col min="60" max="60" width="8.85546875" style="107" bestFit="1" customWidth="1"/>
    <col min="61" max="61" width="10.85546875" style="107" bestFit="1" customWidth="1"/>
    <col min="62" max="62" width="37.85546875" style="107" bestFit="1" customWidth="1"/>
    <col min="63" max="63" width="8.85546875" style="107" bestFit="1" customWidth="1"/>
    <col min="64" max="65" width="7.28515625" style="107" bestFit="1" customWidth="1"/>
    <col min="66" max="66" width="8.85546875" style="107" bestFit="1" customWidth="1"/>
    <col min="67" max="67" width="10.85546875" style="107" bestFit="1" customWidth="1"/>
    <col min="68" max="68" width="7.5703125" style="107" bestFit="1" customWidth="1"/>
    <col min="69" max="69" width="8.85546875" style="107" bestFit="1" customWidth="1"/>
    <col min="70" max="70" width="7.28515625" style="107" bestFit="1" customWidth="1"/>
    <col min="71" max="71" width="9.85546875" style="107" bestFit="1" customWidth="1"/>
    <col min="72" max="72" width="8.85546875" style="107" bestFit="1" customWidth="1"/>
    <col min="73" max="73" width="9.85546875" style="107" bestFit="1" customWidth="1"/>
    <col min="74" max="74" width="7.5703125" style="107" bestFit="1" customWidth="1"/>
    <col min="75" max="75" width="8.85546875" style="107" bestFit="1" customWidth="1"/>
    <col min="76" max="76" width="7.28515625" style="107" bestFit="1" customWidth="1"/>
    <col min="77" max="77" width="9.85546875" style="107" bestFit="1" customWidth="1"/>
    <col min="78" max="78" width="8.85546875" style="107" bestFit="1" customWidth="1"/>
    <col min="79" max="79" width="9.85546875" style="107" bestFit="1" customWidth="1"/>
    <col min="80" max="80" width="7.5703125" style="107" bestFit="1" customWidth="1"/>
    <col min="81" max="81" width="8.85546875" style="107" bestFit="1" customWidth="1"/>
    <col min="82" max="82" width="7.28515625" style="107" bestFit="1" customWidth="1"/>
    <col min="83" max="83" width="9.85546875" style="107" bestFit="1" customWidth="1"/>
    <col min="84" max="84" width="8.85546875" style="107" bestFit="1" customWidth="1"/>
    <col min="85" max="85" width="9.85546875" style="107" bestFit="1" customWidth="1"/>
    <col min="86" max="86" width="8.5703125" style="107" bestFit="1" customWidth="1"/>
    <col min="87" max="87" width="8.85546875" style="107" bestFit="1" customWidth="1"/>
    <col min="88" max="89" width="7.28515625" style="107" bestFit="1" customWidth="1"/>
    <col min="90" max="90" width="8.85546875" style="107" bestFit="1" customWidth="1"/>
    <col min="91" max="91" width="10.85546875" style="107" bestFit="1" customWidth="1"/>
    <col min="92" max="92" width="28.5703125" style="107" bestFit="1" customWidth="1"/>
    <col min="93" max="93" width="8.85546875" style="107" bestFit="1" customWidth="1"/>
    <col min="94" max="95" width="7.28515625" style="107" bestFit="1" customWidth="1"/>
    <col min="96" max="96" width="8.85546875" style="107" bestFit="1" customWidth="1"/>
    <col min="97" max="97" width="10.85546875" style="107" bestFit="1" customWidth="1"/>
    <col min="98" max="98" width="7.5703125" style="107" bestFit="1" customWidth="1"/>
    <col min="99" max="99" width="8.85546875" style="107" bestFit="1" customWidth="1"/>
    <col min="100" max="100" width="7.28515625" style="107" bestFit="1" customWidth="1"/>
    <col min="101" max="101" width="9.85546875" style="107" bestFit="1" customWidth="1"/>
    <col min="102" max="102" width="8.85546875" style="107" bestFit="1" customWidth="1"/>
    <col min="103" max="103" width="9.85546875" style="107" bestFit="1" customWidth="1"/>
    <col min="104" max="104" width="7.5703125" style="107" bestFit="1" customWidth="1"/>
    <col min="105" max="105" width="8.85546875" style="107" bestFit="1" customWidth="1"/>
    <col min="106" max="106" width="7.28515625" style="107" bestFit="1" customWidth="1"/>
    <col min="107" max="107" width="9.85546875" style="107" bestFit="1" customWidth="1"/>
    <col min="108" max="108" width="8.85546875" style="107" bestFit="1" customWidth="1"/>
    <col min="109" max="109" width="9.85546875" style="107" bestFit="1" customWidth="1"/>
    <col min="110" max="110" width="7.5703125" style="107" bestFit="1" customWidth="1"/>
    <col min="111" max="111" width="8.85546875" style="107" bestFit="1" customWidth="1"/>
    <col min="112" max="112" width="7.28515625" style="107" bestFit="1" customWidth="1"/>
    <col min="113" max="113" width="9.85546875" style="107" bestFit="1" customWidth="1"/>
    <col min="114" max="114" width="8.85546875" style="107" bestFit="1" customWidth="1"/>
    <col min="115" max="115" width="9.85546875" style="107" bestFit="1" customWidth="1"/>
    <col min="116" max="116" width="8.5703125" style="107" bestFit="1" customWidth="1"/>
    <col min="117" max="117" width="8.85546875" style="107" bestFit="1" customWidth="1"/>
    <col min="118" max="119" width="7.28515625" style="107" bestFit="1" customWidth="1"/>
    <col min="120" max="120" width="8.85546875" style="107" bestFit="1" customWidth="1"/>
    <col min="121" max="121" width="10.85546875" style="107" bestFit="1" customWidth="1"/>
    <col min="122" max="122" width="30.140625" style="107" bestFit="1" customWidth="1"/>
    <col min="123" max="123" width="8.85546875" style="107" bestFit="1" customWidth="1"/>
    <col min="124" max="125" width="7.28515625" style="107" bestFit="1" customWidth="1"/>
    <col min="126" max="126" width="8.85546875" style="107" bestFit="1" customWidth="1"/>
    <col min="127" max="127" width="10.85546875" style="107" bestFit="1" customWidth="1"/>
    <col min="128" max="128" width="7.5703125" style="107" bestFit="1" customWidth="1"/>
    <col min="129" max="129" width="8.85546875" style="107" bestFit="1" customWidth="1"/>
    <col min="130" max="130" width="7.28515625" style="107" bestFit="1" customWidth="1"/>
    <col min="131" max="131" width="9.85546875" style="107" bestFit="1" customWidth="1"/>
    <col min="132" max="132" width="8.85546875" style="107" bestFit="1" customWidth="1"/>
    <col min="133" max="133" width="9.85546875" style="107" bestFit="1" customWidth="1"/>
    <col min="134" max="134" width="7.5703125" style="107" bestFit="1" customWidth="1"/>
    <col min="135" max="135" width="8.85546875" style="107" bestFit="1" customWidth="1"/>
    <col min="136" max="136" width="7.28515625" style="107" bestFit="1" customWidth="1"/>
    <col min="137" max="137" width="9.85546875" style="107" bestFit="1" customWidth="1"/>
    <col min="138" max="138" width="8.85546875" style="107" bestFit="1" customWidth="1"/>
    <col min="139" max="139" width="9.85546875" style="107" bestFit="1" customWidth="1"/>
    <col min="140" max="140" width="7.5703125" style="107" bestFit="1" customWidth="1"/>
    <col min="141" max="141" width="8.85546875" style="107" bestFit="1" customWidth="1"/>
    <col min="142" max="142" width="7.28515625" style="107" bestFit="1" customWidth="1"/>
    <col min="143" max="143" width="9.85546875" style="107" bestFit="1" customWidth="1"/>
    <col min="144" max="144" width="8.85546875" style="107" bestFit="1" customWidth="1"/>
    <col min="145" max="145" width="9.85546875" style="107" bestFit="1" customWidth="1"/>
    <col min="146" max="146" width="8.5703125" style="107" bestFit="1" customWidth="1"/>
    <col min="147" max="147" width="8.85546875" style="107" bestFit="1" customWidth="1"/>
    <col min="148" max="149" width="7.28515625" style="107" bestFit="1" customWidth="1"/>
    <col min="150" max="150" width="8.85546875" style="107" bestFit="1" customWidth="1"/>
    <col min="151" max="151" width="10.85546875" style="107" bestFit="1" customWidth="1"/>
    <col min="152" max="152" width="39.7109375" style="107" bestFit="1" customWidth="1"/>
    <col min="153" max="153" width="8.85546875" style="107" bestFit="1" customWidth="1"/>
    <col min="154" max="155" width="7.28515625" style="107" bestFit="1" customWidth="1"/>
    <col min="156" max="156" width="8.85546875" style="107" bestFit="1" customWidth="1"/>
    <col min="157" max="157" width="10.85546875" style="107" bestFit="1" customWidth="1"/>
    <col min="158" max="158" width="7.5703125" style="107" bestFit="1" customWidth="1"/>
    <col min="159" max="159" width="8.85546875" style="107" bestFit="1" customWidth="1"/>
    <col min="160" max="160" width="7.28515625" style="107" bestFit="1" customWidth="1"/>
    <col min="161" max="161" width="9.85546875" style="107" bestFit="1" customWidth="1"/>
    <col min="162" max="162" width="8.85546875" style="107" bestFit="1" customWidth="1"/>
    <col min="163" max="163" width="9.85546875" style="107" bestFit="1" customWidth="1"/>
    <col min="164" max="164" width="7.5703125" style="107" bestFit="1" customWidth="1"/>
    <col min="165" max="165" width="8.85546875" style="107" bestFit="1" customWidth="1"/>
    <col min="166" max="166" width="7.28515625" style="107" bestFit="1" customWidth="1"/>
    <col min="167" max="167" width="9.85546875" style="107" bestFit="1" customWidth="1"/>
    <col min="168" max="168" width="8.85546875" style="107" bestFit="1" customWidth="1"/>
    <col min="169" max="169" width="9.85546875" style="107" bestFit="1" customWidth="1"/>
    <col min="170" max="170" width="7.5703125" style="107" bestFit="1" customWidth="1"/>
    <col min="171" max="171" width="8.85546875" style="107" bestFit="1" customWidth="1"/>
    <col min="172" max="172" width="7.28515625" style="107" bestFit="1" customWidth="1"/>
    <col min="173" max="173" width="9.85546875" style="107" bestFit="1" customWidth="1"/>
    <col min="174" max="174" width="8.85546875" style="107" bestFit="1" customWidth="1"/>
    <col min="175" max="175" width="9.85546875" style="107" bestFit="1" customWidth="1"/>
    <col min="176" max="176" width="8.5703125" style="107" bestFit="1" customWidth="1"/>
    <col min="177" max="177" width="8.85546875" style="107" bestFit="1" customWidth="1"/>
    <col min="178" max="179" width="7.28515625" style="107" bestFit="1" customWidth="1"/>
    <col min="180" max="180" width="8.85546875" style="107" bestFit="1" customWidth="1"/>
    <col min="181" max="181" width="10.85546875" style="107" bestFit="1" customWidth="1"/>
    <col min="182" max="182" width="27.42578125" style="107" bestFit="1" customWidth="1"/>
    <col min="183" max="183" width="8.85546875" style="107" bestFit="1" customWidth="1"/>
    <col min="184" max="185" width="7.28515625" style="107" bestFit="1" customWidth="1"/>
    <col min="186" max="186" width="8.85546875" style="107" bestFit="1" customWidth="1"/>
    <col min="187" max="187" width="10.85546875" style="107" bestFit="1" customWidth="1"/>
    <col min="188" max="188" width="7.85546875" style="107" bestFit="1" customWidth="1"/>
    <col min="189" max="189" width="8.85546875" style="107" bestFit="1" customWidth="1"/>
    <col min="190" max="190" width="7.85546875" style="107" bestFit="1" customWidth="1"/>
    <col min="191" max="191" width="9.85546875" style="107" bestFit="1" customWidth="1"/>
    <col min="192" max="192" width="8.85546875" style="107" bestFit="1" customWidth="1"/>
    <col min="193" max="193" width="9.85546875" style="107" bestFit="1" customWidth="1"/>
    <col min="194" max="194" width="7.5703125" style="107" bestFit="1" customWidth="1"/>
    <col min="195" max="195" width="8.85546875" style="107" bestFit="1" customWidth="1"/>
    <col min="196" max="196" width="7.28515625" style="107" bestFit="1" customWidth="1"/>
    <col min="197" max="197" width="9.85546875" style="107" bestFit="1" customWidth="1"/>
    <col min="198" max="198" width="8.85546875" style="107" bestFit="1" customWidth="1"/>
    <col min="199" max="199" width="9.85546875" style="107" bestFit="1" customWidth="1"/>
    <col min="200" max="200" width="7.85546875" style="107" bestFit="1" customWidth="1"/>
    <col min="201" max="201" width="8.85546875" style="107" bestFit="1" customWidth="1"/>
    <col min="202" max="202" width="7.85546875" style="107" bestFit="1" customWidth="1"/>
    <col min="203" max="203" width="9.85546875" style="107" bestFit="1" customWidth="1"/>
    <col min="204" max="204" width="8.85546875" style="107" bestFit="1" customWidth="1"/>
    <col min="205" max="205" width="9.85546875" style="107" bestFit="1" customWidth="1"/>
    <col min="206" max="206" width="8.5703125" style="107" bestFit="1" customWidth="1"/>
    <col min="207" max="207" width="8.85546875" style="107" bestFit="1" customWidth="1"/>
    <col min="208" max="209" width="7.28515625" style="107" bestFit="1" customWidth="1"/>
    <col min="210" max="210" width="8.85546875" style="107" bestFit="1" customWidth="1"/>
    <col min="211" max="211" width="10.85546875" style="107" bestFit="1" customWidth="1"/>
    <col min="212" max="212" width="38" style="107" bestFit="1" customWidth="1"/>
    <col min="213" max="213" width="28.42578125" style="107" bestFit="1" customWidth="1"/>
    <col min="214" max="214" width="42.42578125" style="107" bestFit="1" customWidth="1"/>
    <col min="215" max="215" width="33.140625" style="107" bestFit="1" customWidth="1"/>
    <col min="216" max="216" width="34.85546875" style="107" bestFit="1" customWidth="1"/>
    <col min="217" max="217" width="44.28515625" style="107" bestFit="1" customWidth="1"/>
    <col min="218" max="218" width="31.85546875" style="107" bestFit="1" customWidth="1"/>
    <col min="219" max="16384" width="8.7109375" style="107"/>
  </cols>
  <sheetData>
    <row r="3" spans="1:13">
      <c r="B3" s="133" t="s">
        <v>14</v>
      </c>
      <c r="C3" s="133" t="s">
        <v>6</v>
      </c>
      <c r="D3" s="133" t="s">
        <v>7</v>
      </c>
      <c r="E3" s="133" t="s">
        <v>8</v>
      </c>
      <c r="F3" s="134" t="s">
        <v>15</v>
      </c>
      <c r="G3" s="134" t="s">
        <v>3</v>
      </c>
      <c r="H3" s="133" t="s">
        <v>10</v>
      </c>
      <c r="I3" s="134" t="s">
        <v>16</v>
      </c>
      <c r="J3" s="134" t="s">
        <v>17</v>
      </c>
      <c r="K3" s="134" t="s">
        <v>18</v>
      </c>
      <c r="L3" s="146" t="s">
        <v>19</v>
      </c>
      <c r="M3" s="148" t="s">
        <v>13</v>
      </c>
    </row>
    <row r="4" spans="1:13" ht="14.45" customHeight="1">
      <c r="A4" s="107">
        <v>1</v>
      </c>
      <c r="B4" s="133" t="s">
        <v>20</v>
      </c>
      <c r="C4" s="135">
        <v>9.8800000000000008</v>
      </c>
      <c r="D4" s="136">
        <v>50</v>
      </c>
      <c r="E4" s="136">
        <v>7.51</v>
      </c>
      <c r="F4" s="136">
        <v>32</v>
      </c>
      <c r="G4" s="169">
        <f>Dashboard!$C$5</f>
        <v>0.62</v>
      </c>
      <c r="H4" s="136">
        <f>F4 * $G$4</f>
        <v>19.84</v>
      </c>
      <c r="I4" s="168">
        <v>16</v>
      </c>
      <c r="J4" s="136">
        <f>((MIN(I4, 8) * Dashboard!$C$4) + (MAX(I4-8, 0) * Dashboard!$C$3)) / I4</f>
        <v>0.31859999999999999</v>
      </c>
      <c r="K4" s="169">
        <v>3.2399999999999998E-3</v>
      </c>
      <c r="L4" s="147">
        <v>20.5</v>
      </c>
      <c r="M4" s="128">
        <f>L4*C4</f>
        <v>202.54000000000002</v>
      </c>
    </row>
    <row r="5" spans="1:13" ht="14.45" customHeight="1">
      <c r="A5" s="107">
        <v>2</v>
      </c>
      <c r="B5" s="133" t="s">
        <v>21</v>
      </c>
      <c r="C5" s="136">
        <v>3.5</v>
      </c>
      <c r="D5" s="136">
        <v>45</v>
      </c>
      <c r="E5" s="136">
        <v>1.32</v>
      </c>
      <c r="F5" s="136">
        <v>19.75</v>
      </c>
      <c r="G5" s="169"/>
      <c r="H5" s="136">
        <f>F5 * $G$4</f>
        <v>12.244999999999999</v>
      </c>
      <c r="I5" s="137">
        <v>16</v>
      </c>
      <c r="J5" s="136">
        <f>((MIN(I5, 8) * Dashboard!$C$4) + (MAX(I5-8, 0) * Dashboard!$C$3)) / I5</f>
        <v>0.31859999999999999</v>
      </c>
      <c r="K5" s="169"/>
      <c r="L5" s="147">
        <v>15.7</v>
      </c>
      <c r="M5" s="128">
        <f>L5*C5</f>
        <v>54.949999999999996</v>
      </c>
    </row>
    <row r="6" spans="1:13" ht="14.45" customHeight="1">
      <c r="A6" s="107">
        <v>3</v>
      </c>
      <c r="B6" s="133" t="s">
        <v>22</v>
      </c>
      <c r="C6" s="136">
        <v>1.85</v>
      </c>
      <c r="D6" s="136">
        <v>30</v>
      </c>
      <c r="E6" s="136">
        <v>7.51</v>
      </c>
      <c r="F6" s="136">
        <v>46</v>
      </c>
      <c r="G6" s="169"/>
      <c r="H6" s="136">
        <f>F6 * $G$4</f>
        <v>28.52</v>
      </c>
      <c r="I6" s="168">
        <v>16</v>
      </c>
      <c r="J6" s="136">
        <f>((MIN(I6, 8) * Dashboard!$C$4) + (MAX(I6-8, 0) * Dashboard!$C$3)) / I6</f>
        <v>0.31859999999999999</v>
      </c>
      <c r="K6" s="169"/>
      <c r="L6" s="147">
        <v>22.5</v>
      </c>
      <c r="M6" s="128">
        <f>L6*C6</f>
        <v>41.625</v>
      </c>
    </row>
    <row r="7" spans="1:13" ht="14.45" customHeight="1">
      <c r="A7" s="107">
        <v>4</v>
      </c>
      <c r="B7" s="133" t="s">
        <v>23</v>
      </c>
      <c r="C7" s="135">
        <v>3.5</v>
      </c>
      <c r="D7" s="135">
        <v>35</v>
      </c>
      <c r="E7" s="135">
        <v>1.32</v>
      </c>
      <c r="F7" s="136">
        <v>19.75</v>
      </c>
      <c r="G7" s="169"/>
      <c r="H7" s="136">
        <f>F7 * $G$4</f>
        <v>12.244999999999999</v>
      </c>
      <c r="I7" s="138">
        <v>10</v>
      </c>
      <c r="J7" s="136">
        <f>((MIN(I7, 8) * Dashboard!$C$4) + (MAX(I7-8, 0) * Dashboard!$C$3)) / I7</f>
        <v>0.24905999999999998</v>
      </c>
      <c r="K7" s="169"/>
      <c r="L7" s="147">
        <v>28.3</v>
      </c>
      <c r="M7" s="128">
        <f>L7*C7</f>
        <v>99.05</v>
      </c>
    </row>
    <row r="8" spans="1:13" ht="14.45" customHeight="1">
      <c r="A8" s="107">
        <v>5</v>
      </c>
      <c r="B8" s="133" t="s">
        <v>24</v>
      </c>
      <c r="C8" s="135">
        <v>3.5</v>
      </c>
      <c r="D8" s="135">
        <v>35</v>
      </c>
      <c r="E8" s="135">
        <v>1.32</v>
      </c>
      <c r="F8" s="136">
        <v>19.75</v>
      </c>
      <c r="G8" s="169"/>
      <c r="H8" s="136">
        <f>F8 * $G$4</f>
        <v>12.244999999999999</v>
      </c>
      <c r="I8" s="138">
        <v>10</v>
      </c>
      <c r="J8" s="136">
        <f>((MIN(I8, 8) * Dashboard!$C$4) + (MAX(I8-8, 0) * Dashboard!$C$3)) / I8</f>
        <v>0.24905999999999998</v>
      </c>
      <c r="K8" s="169"/>
      <c r="L8" s="147">
        <v>14.5</v>
      </c>
      <c r="M8" s="128">
        <f>L8*C8</f>
        <v>50.75</v>
      </c>
    </row>
    <row r="9" spans="1:13" ht="14.45" customHeight="1">
      <c r="B9" s="149"/>
      <c r="C9" s="150"/>
      <c r="D9" s="150"/>
      <c r="E9" s="150"/>
      <c r="G9" s="151"/>
      <c r="I9" s="152"/>
      <c r="K9" s="151"/>
    </row>
    <row r="10" spans="1:13" ht="14.45" customHeight="1">
      <c r="B10" s="149"/>
      <c r="C10" s="150"/>
      <c r="D10" s="150"/>
      <c r="E10" s="150"/>
      <c r="G10" s="151"/>
      <c r="I10" s="152"/>
      <c r="K10" s="151"/>
    </row>
  </sheetData>
  <mergeCells count="2">
    <mergeCell ref="G4:G8"/>
    <mergeCell ref="K4:K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6FECF-7888-4C33-B6E1-A53E4710D370}">
  <sheetPr codeName="Sheet13">
    <tabColor theme="6" tint="-0.249977111117893"/>
  </sheetPr>
  <dimension ref="B2:O20"/>
  <sheetViews>
    <sheetView topLeftCell="A4" zoomScale="55" zoomScaleNormal="55" workbookViewId="0">
      <selection activeCell="C13" sqref="C13"/>
    </sheetView>
  </sheetViews>
  <sheetFormatPr defaultColWidth="8.7109375" defaultRowHeight="14.45"/>
  <cols>
    <col min="1" max="1" width="5.85546875" style="107" customWidth="1"/>
    <col min="2" max="2" width="26.85546875" style="107" bestFit="1" customWidth="1"/>
    <col min="3" max="3" width="17.7109375" style="107" customWidth="1"/>
    <col min="4" max="9" width="15.85546875" style="107" customWidth="1"/>
    <col min="10" max="10" width="8.7109375" style="107"/>
    <col min="11" max="11" width="36.42578125" style="107" bestFit="1" customWidth="1"/>
    <col min="12" max="12" width="13.28515625" style="107" bestFit="1" customWidth="1"/>
    <col min="13" max="13" width="8.42578125" style="107" bestFit="1" customWidth="1"/>
    <col min="14" max="14" width="15.5703125" style="107" bestFit="1" customWidth="1"/>
    <col min="15" max="15" width="53.42578125" style="107" bestFit="1" customWidth="1"/>
    <col min="16" max="17" width="8.85546875" style="107" customWidth="1"/>
    <col min="18" max="16384" width="8.7109375" style="107"/>
  </cols>
  <sheetData>
    <row r="2" spans="2:15">
      <c r="B2" s="107" t="s">
        <v>25</v>
      </c>
      <c r="K2" s="155" t="s">
        <v>26</v>
      </c>
    </row>
    <row r="3" spans="2:15">
      <c r="B3" s="144" t="s">
        <v>27</v>
      </c>
      <c r="C3" s="158">
        <f>SUM(I9:I13)</f>
        <v>50103.91844400001</v>
      </c>
    </row>
    <row r="4" spans="2:15">
      <c r="B4" s="144" t="s">
        <v>28</v>
      </c>
      <c r="C4" s="159">
        <f>SUM(D9:D13)</f>
        <v>4446</v>
      </c>
      <c r="K4" s="156" t="s">
        <v>29</v>
      </c>
      <c r="L4" s="156" t="s">
        <v>30</v>
      </c>
      <c r="M4" s="156" t="s">
        <v>31</v>
      </c>
      <c r="N4" s="156" t="s">
        <v>32</v>
      </c>
      <c r="O4" s="156" t="s">
        <v>33</v>
      </c>
    </row>
    <row r="5" spans="2:15">
      <c r="B5" s="144" t="s">
        <v>34</v>
      </c>
      <c r="C5" s="159">
        <f>0.3*C4</f>
        <v>1333.8</v>
      </c>
      <c r="K5" s="155" t="s">
        <v>35</v>
      </c>
      <c r="L5" s="166" t="s">
        <v>36</v>
      </c>
      <c r="M5" s="156" t="s">
        <v>37</v>
      </c>
      <c r="N5" s="157" t="s">
        <v>38</v>
      </c>
      <c r="O5" s="107" t="s">
        <v>39</v>
      </c>
    </row>
    <row r="6" spans="2:15">
      <c r="C6" s="154"/>
      <c r="K6" s="155" t="s">
        <v>40</v>
      </c>
      <c r="L6" s="157" t="s">
        <v>41</v>
      </c>
      <c r="M6" s="157" t="s">
        <v>38</v>
      </c>
      <c r="N6" s="157" t="s">
        <v>38</v>
      </c>
      <c r="O6" s="107" t="s">
        <v>42</v>
      </c>
    </row>
    <row r="7" spans="2:15">
      <c r="B7" s="107" t="s">
        <v>43</v>
      </c>
      <c r="K7" s="155" t="s">
        <v>44</v>
      </c>
      <c r="L7" s="157" t="s">
        <v>45</v>
      </c>
      <c r="M7" s="157" t="s">
        <v>38</v>
      </c>
      <c r="N7" s="157" t="s">
        <v>38</v>
      </c>
      <c r="O7" s="107" t="s">
        <v>46</v>
      </c>
    </row>
    <row r="8" spans="2:15" ht="29.1">
      <c r="B8" s="163" t="s">
        <v>14</v>
      </c>
      <c r="C8" s="162" t="s">
        <v>47</v>
      </c>
      <c r="D8" s="162" t="s">
        <v>48</v>
      </c>
      <c r="E8" s="162" t="s">
        <v>49</v>
      </c>
      <c r="F8" s="162" t="s">
        <v>50</v>
      </c>
      <c r="G8" s="162" t="s">
        <v>51</v>
      </c>
      <c r="H8" s="162" t="s">
        <v>52</v>
      </c>
      <c r="I8" s="162" t="s">
        <v>53</v>
      </c>
    </row>
    <row r="9" spans="2:15">
      <c r="B9" s="164" t="e">
        <f>#REF!</f>
        <v>#REF!</v>
      </c>
      <c r="C9" s="160">
        <v>200</v>
      </c>
      <c r="D9" s="159">
        <f>C9*'Data (Values and Parameters)'!C4</f>
        <v>1976.0000000000002</v>
      </c>
      <c r="E9" s="159">
        <f>D9*(1-25%)</f>
        <v>1482.0000000000002</v>
      </c>
      <c r="F9" s="161">
        <f>E9*'Data (Values and Parameters)'!H4</f>
        <v>29402.880000000005</v>
      </c>
      <c r="G9" s="161">
        <f>D9*'Data (Values and Parameters)'!E4*'Data (Values and Parameters)'!J4</f>
        <v>4727.9475360000006</v>
      </c>
      <c r="H9" s="161">
        <f>D9*'Data (Values and Parameters)'!L4*'Data (Values and Parameters)'!K4</f>
        <v>131.24592000000001</v>
      </c>
      <c r="I9" s="158">
        <f>F9-G9-H9</f>
        <v>24543.686544000004</v>
      </c>
      <c r="K9" s="156" t="s">
        <v>54</v>
      </c>
      <c r="L9" s="156" t="s">
        <v>55</v>
      </c>
      <c r="M9" s="156" t="s">
        <v>31</v>
      </c>
      <c r="N9" s="156" t="s">
        <v>56</v>
      </c>
      <c r="O9" s="156" t="s">
        <v>57</v>
      </c>
    </row>
    <row r="10" spans="2:15">
      <c r="B10" s="164" t="e">
        <f>#REF!</f>
        <v>#REF!</v>
      </c>
      <c r="C10" s="160">
        <v>200</v>
      </c>
      <c r="D10" s="159">
        <f>C10*'Data (Values and Parameters)'!C5</f>
        <v>700</v>
      </c>
      <c r="E10" s="159">
        <f t="shared" ref="E10:E13" si="0">D10*(1-25%)</f>
        <v>525</v>
      </c>
      <c r="F10" s="161">
        <f>E10*'Data (Values and Parameters)'!H5</f>
        <v>6428.625</v>
      </c>
      <c r="G10" s="161">
        <f>D10*'Data (Values and Parameters)'!E5*'Data (Values and Parameters)'!J5</f>
        <v>294.38639999999998</v>
      </c>
      <c r="H10" s="161">
        <f>D10*'Data (Values and Parameters)'!L5*'Data (Values and Parameters)'!K5</f>
        <v>0</v>
      </c>
      <c r="I10" s="158">
        <f t="shared" ref="I10:I13" si="1">F10-G10-H10</f>
        <v>6134.2385999999997</v>
      </c>
      <c r="K10" s="156">
        <v>1</v>
      </c>
      <c r="L10" s="157" t="s">
        <v>58</v>
      </c>
      <c r="M10" s="156" t="s">
        <v>59</v>
      </c>
      <c r="N10" s="157" t="s">
        <v>60</v>
      </c>
      <c r="O10" s="107" t="s">
        <v>61</v>
      </c>
    </row>
    <row r="11" spans="2:15">
      <c r="B11" s="164" t="e">
        <f>#REF!</f>
        <v>#REF!</v>
      </c>
      <c r="C11" s="160">
        <v>200</v>
      </c>
      <c r="D11" s="159">
        <f>C11*'Data (Values and Parameters)'!C6</f>
        <v>370</v>
      </c>
      <c r="E11" s="159">
        <f t="shared" si="0"/>
        <v>277.5</v>
      </c>
      <c r="F11" s="161">
        <f>E11*'Data (Values and Parameters)'!H6</f>
        <v>7914.3</v>
      </c>
      <c r="G11" s="161">
        <f>D11*'Data (Values and Parameters)'!E6*'Data (Values and Parameters)'!J6</f>
        <v>885.29381999999998</v>
      </c>
      <c r="H11" s="161">
        <f>D11*'Data (Values and Parameters)'!L6*'Data (Values and Parameters)'!K6</f>
        <v>0</v>
      </c>
      <c r="I11" s="158">
        <f t="shared" si="1"/>
        <v>7029.0061800000003</v>
      </c>
      <c r="K11" s="156">
        <v>2</v>
      </c>
      <c r="L11" s="157" t="s">
        <v>62</v>
      </c>
      <c r="M11" s="156" t="s">
        <v>63</v>
      </c>
      <c r="N11" s="157">
        <v>0</v>
      </c>
      <c r="O11" s="107" t="s">
        <v>64</v>
      </c>
    </row>
    <row r="12" spans="2:15">
      <c r="B12" s="164" t="e">
        <f>#REF!</f>
        <v>#REF!</v>
      </c>
      <c r="C12" s="160">
        <v>200</v>
      </c>
      <c r="D12" s="159">
        <f>C12*'Data (Values and Parameters)'!C7</f>
        <v>700</v>
      </c>
      <c r="E12" s="159">
        <f t="shared" si="0"/>
        <v>525</v>
      </c>
      <c r="F12" s="161">
        <f>E12*'Data (Values and Parameters)'!H7</f>
        <v>6428.625</v>
      </c>
      <c r="G12" s="161">
        <f>D12*'Data (Values and Parameters)'!E7*'Data (Values and Parameters)'!J7</f>
        <v>230.13143999999997</v>
      </c>
      <c r="H12" s="161">
        <f>D12*'Data (Values and Parameters)'!L7*'Data (Values and Parameters)'!K7</f>
        <v>0</v>
      </c>
      <c r="I12" s="158">
        <f t="shared" si="1"/>
        <v>6198.4935599999999</v>
      </c>
      <c r="K12" s="156">
        <v>3</v>
      </c>
      <c r="L12" s="157" t="s">
        <v>65</v>
      </c>
      <c r="M12" s="156" t="s">
        <v>63</v>
      </c>
      <c r="N12" s="157" t="s">
        <v>66</v>
      </c>
      <c r="O12" s="107" t="s">
        <v>67</v>
      </c>
    </row>
    <row r="13" spans="2:15">
      <c r="B13" s="164" t="e">
        <f>#REF!</f>
        <v>#REF!</v>
      </c>
      <c r="C13" s="160">
        <v>200</v>
      </c>
      <c r="D13" s="159">
        <f>C13*'Data (Values and Parameters)'!C8</f>
        <v>700</v>
      </c>
      <c r="E13" s="159">
        <f t="shared" si="0"/>
        <v>525</v>
      </c>
      <c r="F13" s="161">
        <f>E13*'Data (Values and Parameters)'!H8</f>
        <v>6428.625</v>
      </c>
      <c r="G13" s="161">
        <f>D13*'Data (Values and Parameters)'!E8*'Data (Values and Parameters)'!J8</f>
        <v>230.13143999999997</v>
      </c>
      <c r="H13" s="161">
        <f>D13*'Data (Values and Parameters)'!L8*'Data (Values and Parameters)'!K8</f>
        <v>0</v>
      </c>
      <c r="I13" s="158">
        <f t="shared" si="1"/>
        <v>6198.4935599999999</v>
      </c>
      <c r="K13" s="156">
        <v>4</v>
      </c>
      <c r="L13" s="157" t="s">
        <v>65</v>
      </c>
      <c r="M13" s="156" t="s">
        <v>59</v>
      </c>
      <c r="N13" s="157" t="s">
        <v>68</v>
      </c>
      <c r="O13" s="107" t="s">
        <v>69</v>
      </c>
    </row>
    <row r="15" spans="2:15">
      <c r="B15" s="107" t="s">
        <v>70</v>
      </c>
    </row>
    <row r="16" spans="2:15">
      <c r="B16" s="144" t="s">
        <v>71</v>
      </c>
      <c r="C16" s="159">
        <f>SUM(C9:C13)</f>
        <v>1000</v>
      </c>
    </row>
    <row r="17" spans="2:3">
      <c r="B17" s="144" t="s">
        <v>72</v>
      </c>
      <c r="C17" s="165">
        <v>0.25</v>
      </c>
    </row>
    <row r="18" spans="2:3">
      <c r="B18" s="144" t="s">
        <v>73</v>
      </c>
      <c r="C18" s="159">
        <f>(E9+E10)-C5</f>
        <v>673.20000000000027</v>
      </c>
    </row>
    <row r="19" spans="2:3">
      <c r="B19" s="144" t="s">
        <v>74</v>
      </c>
      <c r="C19" s="159">
        <f>SUM(E9:E13)</f>
        <v>3334.5</v>
      </c>
    </row>
    <row r="20" spans="2:3">
      <c r="C20" s="15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0DC04-AC00-4EB0-8FC4-41284023E88E}">
  <sheetPr codeName="Sheet4"/>
  <dimension ref="A1:N1038"/>
  <sheetViews>
    <sheetView zoomScale="68" workbookViewId="0">
      <selection activeCell="C12" sqref="C12:C13"/>
    </sheetView>
  </sheetViews>
  <sheetFormatPr defaultRowHeight="14.45"/>
  <cols>
    <col min="1" max="1" width="12" bestFit="1" customWidth="1"/>
    <col min="2" max="2" width="9.140625" bestFit="1" customWidth="1"/>
    <col min="3" max="3" width="9.42578125" bestFit="1" customWidth="1"/>
    <col min="4" max="4" width="35.5703125" bestFit="1" customWidth="1"/>
    <col min="5" max="6" width="9.140625" bestFit="1" customWidth="1"/>
    <col min="7" max="7" width="8.85546875" bestFit="1" customWidth="1"/>
    <col min="8" max="8" width="10.42578125" bestFit="1" customWidth="1"/>
    <col min="9" max="12" width="8.85546875" bestFit="1" customWidth="1"/>
    <col min="13" max="13" width="9.140625" bestFit="1" customWidth="1"/>
    <col min="14" max="14" width="7.5703125" bestFit="1" customWidth="1"/>
  </cols>
  <sheetData>
    <row r="1" spans="1:14" ht="16.5">
      <c r="A1" s="204" t="s">
        <v>75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6"/>
    </row>
    <row r="2" spans="1:14">
      <c r="A2" s="207" t="s">
        <v>76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9"/>
    </row>
    <row r="3" spans="1:14">
      <c r="A3" s="191" t="s">
        <v>77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3"/>
    </row>
    <row r="4" spans="1:14" ht="69.95">
      <c r="A4" s="109" t="s">
        <v>14</v>
      </c>
      <c r="B4" s="110" t="s">
        <v>78</v>
      </c>
      <c r="C4" s="110" t="s">
        <v>79</v>
      </c>
      <c r="D4" s="110" t="s">
        <v>80</v>
      </c>
      <c r="E4" s="110" t="s">
        <v>81</v>
      </c>
      <c r="F4" s="110" t="s">
        <v>82</v>
      </c>
      <c r="G4" s="98"/>
      <c r="H4" s="98"/>
      <c r="I4" s="98"/>
      <c r="J4" s="98"/>
      <c r="K4" s="98"/>
      <c r="L4" s="98"/>
      <c r="M4" s="98"/>
      <c r="N4" s="99"/>
    </row>
    <row r="5" spans="1:14" ht="60.6">
      <c r="A5" s="88" t="s">
        <v>20</v>
      </c>
      <c r="B5" s="111" t="e">
        <f>#REF!</f>
        <v>#REF!</v>
      </c>
      <c r="C5" s="112">
        <v>3.5</v>
      </c>
      <c r="D5" s="100" t="e">
        <f>LN(B5)-0.5*LN(1+(C5/B5)^2)</f>
        <v>#REF!</v>
      </c>
      <c r="E5" s="100" t="e">
        <f>SQRT(LN(1+(C5/B5)^2))</f>
        <v>#REF!</v>
      </c>
      <c r="F5" s="89" t="s">
        <v>83</v>
      </c>
      <c r="G5" s="98"/>
      <c r="H5" s="98"/>
      <c r="I5" s="98"/>
      <c r="J5" s="98"/>
      <c r="K5" s="98"/>
      <c r="L5" s="98"/>
      <c r="M5" s="98"/>
      <c r="N5" s="99"/>
    </row>
    <row r="6" spans="1:14" ht="60.6">
      <c r="A6" s="90" t="s">
        <v>21</v>
      </c>
      <c r="B6" s="113" t="e">
        <f>#REF!</f>
        <v>#REF!</v>
      </c>
      <c r="C6" s="114">
        <v>2</v>
      </c>
      <c r="D6" s="101" t="e">
        <f>LN(B6)-0.5*LN(1+(C6/B6)^2)</f>
        <v>#REF!</v>
      </c>
      <c r="E6" s="101" t="e">
        <f>SQRT(LN(1+(C6/B6)^2))</f>
        <v>#REF!</v>
      </c>
      <c r="F6" s="91" t="s">
        <v>83</v>
      </c>
      <c r="G6" s="98"/>
      <c r="H6" s="98"/>
      <c r="I6" s="98"/>
      <c r="J6" s="98"/>
      <c r="K6" s="98"/>
      <c r="L6" s="98"/>
      <c r="M6" s="98"/>
      <c r="N6" s="99"/>
    </row>
    <row r="7" spans="1:14" ht="60.6">
      <c r="A7" s="88" t="s">
        <v>22</v>
      </c>
      <c r="B7" s="111" t="e">
        <f>#REF!</f>
        <v>#REF!</v>
      </c>
      <c r="C7" s="112">
        <v>4.5</v>
      </c>
      <c r="D7" s="100" t="e">
        <f>LN(B7)-0.5*LN(1+(C7/B7)^2)</f>
        <v>#REF!</v>
      </c>
      <c r="E7" s="100" t="e">
        <f>SQRT(LN(1+(C7/B7)^2))</f>
        <v>#REF!</v>
      </c>
      <c r="F7" s="89" t="s">
        <v>83</v>
      </c>
      <c r="G7" s="98"/>
      <c r="H7" s="98"/>
      <c r="I7" s="98"/>
      <c r="J7" s="98"/>
      <c r="K7" s="98"/>
      <c r="L7" s="98"/>
      <c r="M7" s="98"/>
      <c r="N7" s="99"/>
    </row>
    <row r="8" spans="1:14" ht="60.6">
      <c r="A8" s="90" t="s">
        <v>23</v>
      </c>
      <c r="B8" s="113" t="e">
        <f>#REF!</f>
        <v>#REF!</v>
      </c>
      <c r="C8" s="114">
        <v>2</v>
      </c>
      <c r="D8" s="101" t="e">
        <f>LN(B8)-0.5*LN(1+(C8/B8)^2)</f>
        <v>#REF!</v>
      </c>
      <c r="E8" s="101" t="e">
        <f>SQRT(LN(1+(C8/B8)^2))</f>
        <v>#REF!</v>
      </c>
      <c r="F8" s="91" t="s">
        <v>83</v>
      </c>
      <c r="G8" s="98"/>
      <c r="H8" s="98"/>
      <c r="I8" s="98"/>
      <c r="J8" s="98"/>
      <c r="K8" s="98"/>
      <c r="L8" s="98"/>
      <c r="M8" s="98"/>
      <c r="N8" s="99"/>
    </row>
    <row r="9" spans="1:14" ht="60.6">
      <c r="A9" s="88" t="s">
        <v>24</v>
      </c>
      <c r="B9" s="111" t="e">
        <f>#REF!</f>
        <v>#REF!</v>
      </c>
      <c r="C9" s="112">
        <v>2</v>
      </c>
      <c r="D9" s="100" t="e">
        <f>LN(B9)-0.5*LN(1+(C9/B9)^2)</f>
        <v>#REF!</v>
      </c>
      <c r="E9" s="100" t="e">
        <f>SQRT(LN(1+(C9/B9)^2))</f>
        <v>#REF!</v>
      </c>
      <c r="F9" s="89" t="s">
        <v>83</v>
      </c>
      <c r="G9" s="98"/>
      <c r="H9" s="98"/>
      <c r="I9" s="98"/>
      <c r="J9" s="98"/>
      <c r="K9" s="98"/>
      <c r="L9" s="98"/>
      <c r="M9" s="98"/>
      <c r="N9" s="99"/>
    </row>
    <row r="10" spans="1:14">
      <c r="A10" s="191" t="s">
        <v>84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3"/>
    </row>
    <row r="11" spans="1:14" ht="58.5">
      <c r="A11" s="109" t="s">
        <v>85</v>
      </c>
      <c r="B11" s="110" t="s">
        <v>86</v>
      </c>
      <c r="C11" s="110" t="s">
        <v>87</v>
      </c>
      <c r="D11" s="110" t="s">
        <v>82</v>
      </c>
      <c r="E11" s="98"/>
      <c r="F11" s="98"/>
      <c r="G11" s="98"/>
      <c r="H11" s="98"/>
      <c r="I11" s="98"/>
      <c r="J11" s="98"/>
      <c r="K11" s="98"/>
      <c r="L11" s="98"/>
      <c r="M11" s="98"/>
      <c r="N11" s="99"/>
    </row>
    <row r="12" spans="1:14" ht="39.6">
      <c r="A12" s="88" t="s">
        <v>88</v>
      </c>
      <c r="B12" s="115">
        <f>Dashboard!C3</f>
        <v>0.4345</v>
      </c>
      <c r="C12" s="116">
        <v>2.5000000000000001E-2</v>
      </c>
      <c r="D12" s="89" t="s">
        <v>89</v>
      </c>
      <c r="E12" s="98"/>
      <c r="F12" s="98"/>
      <c r="G12" s="98"/>
      <c r="H12" s="98"/>
      <c r="I12" s="98"/>
      <c r="J12" s="98"/>
      <c r="K12" s="98"/>
      <c r="L12" s="98"/>
      <c r="M12" s="98"/>
      <c r="N12" s="99"/>
    </row>
    <row r="13" spans="1:14" ht="39.6">
      <c r="A13" s="90" t="s">
        <v>90</v>
      </c>
      <c r="B13" s="117">
        <f>Dashboard!C4</f>
        <v>0.20269999999999999</v>
      </c>
      <c r="C13" s="118">
        <v>1.4999999999999999E-2</v>
      </c>
      <c r="D13" s="91" t="s">
        <v>89</v>
      </c>
      <c r="E13" s="98"/>
      <c r="F13" s="98"/>
      <c r="G13" s="98"/>
      <c r="H13" s="98"/>
      <c r="I13" s="98"/>
      <c r="J13" s="98"/>
      <c r="K13" s="98"/>
      <c r="L13" s="98"/>
      <c r="M13" s="98"/>
      <c r="N13" s="99"/>
    </row>
    <row r="14" spans="1:14">
      <c r="A14" s="191" t="s">
        <v>91</v>
      </c>
      <c r="B14" s="192"/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3"/>
    </row>
    <row r="15" spans="1:14" ht="69.95">
      <c r="A15" s="109" t="s">
        <v>14</v>
      </c>
      <c r="B15" s="110" t="s">
        <v>92</v>
      </c>
      <c r="C15" s="110" t="s">
        <v>93</v>
      </c>
      <c r="D15" s="110" t="s">
        <v>94</v>
      </c>
      <c r="E15" s="110" t="s">
        <v>95</v>
      </c>
      <c r="F15" s="98"/>
      <c r="G15" s="98"/>
      <c r="H15" s="98"/>
      <c r="I15" s="98"/>
      <c r="J15" s="98"/>
      <c r="K15" s="98"/>
      <c r="L15" s="98"/>
      <c r="M15" s="98"/>
      <c r="N15" s="99"/>
    </row>
    <row r="16" spans="1:14">
      <c r="A16" s="88" t="s">
        <v>20</v>
      </c>
      <c r="B16" s="119">
        <v>3205</v>
      </c>
      <c r="C16" s="119">
        <v>4273.33</v>
      </c>
      <c r="D16" s="120" t="e">
        <f>#REF!</f>
        <v>#REF!</v>
      </c>
      <c r="E16" s="120" t="e">
        <f>#REF!</f>
        <v>#REF!</v>
      </c>
      <c r="F16" s="98"/>
      <c r="G16" s="98"/>
      <c r="H16" s="98"/>
      <c r="I16" s="98"/>
      <c r="J16" s="98"/>
      <c r="K16" s="98"/>
      <c r="L16" s="98"/>
      <c r="M16" s="98"/>
      <c r="N16" s="99"/>
    </row>
    <row r="17" spans="1:14">
      <c r="A17" s="90" t="s">
        <v>21</v>
      </c>
      <c r="B17" s="121">
        <v>1489.63</v>
      </c>
      <c r="C17" s="121">
        <v>1986.17</v>
      </c>
      <c r="D17" s="122" t="e">
        <f>#REF!</f>
        <v>#REF!</v>
      </c>
      <c r="E17" s="122" t="e">
        <f>#REF!</f>
        <v>#REF!</v>
      </c>
      <c r="F17" s="98"/>
      <c r="G17" s="98"/>
      <c r="H17" s="98"/>
      <c r="I17" s="98"/>
      <c r="J17" s="98"/>
      <c r="K17" s="98"/>
      <c r="L17" s="98"/>
      <c r="M17" s="98"/>
      <c r="N17" s="99"/>
    </row>
    <row r="18" spans="1:14">
      <c r="A18" s="88" t="s">
        <v>22</v>
      </c>
      <c r="B18" s="120">
        <v>0</v>
      </c>
      <c r="C18" s="120">
        <v>0</v>
      </c>
      <c r="D18" s="120" t="e">
        <f>#REF!</f>
        <v>#REF!</v>
      </c>
      <c r="E18" s="120" t="e">
        <f>#REF!</f>
        <v>#REF!</v>
      </c>
      <c r="F18" s="98"/>
      <c r="G18" s="98"/>
      <c r="H18" s="98"/>
      <c r="I18" s="98"/>
      <c r="J18" s="98"/>
      <c r="K18" s="98"/>
      <c r="L18" s="98"/>
      <c r="M18" s="98"/>
      <c r="N18" s="99"/>
    </row>
    <row r="19" spans="1:14">
      <c r="A19" s="90" t="s">
        <v>23</v>
      </c>
      <c r="B19" s="122">
        <v>0</v>
      </c>
      <c r="C19" s="122">
        <v>0</v>
      </c>
      <c r="D19" s="122" t="e">
        <f>#REF!</f>
        <v>#REF!</v>
      </c>
      <c r="E19" s="122" t="e">
        <f>#REF!</f>
        <v>#REF!</v>
      </c>
      <c r="F19" s="98"/>
      <c r="G19" s="98"/>
      <c r="H19" s="98"/>
      <c r="I19" s="98"/>
      <c r="J19" s="98"/>
      <c r="K19" s="98"/>
      <c r="L19" s="98"/>
      <c r="M19" s="98"/>
      <c r="N19" s="99"/>
    </row>
    <row r="20" spans="1:14">
      <c r="A20" s="88" t="s">
        <v>24</v>
      </c>
      <c r="B20" s="120">
        <v>0</v>
      </c>
      <c r="C20" s="120">
        <v>0</v>
      </c>
      <c r="D20" s="120" t="e">
        <f>#REF!</f>
        <v>#REF!</v>
      </c>
      <c r="E20" s="120" t="e">
        <f>#REF!</f>
        <v>#REF!</v>
      </c>
      <c r="F20" s="98"/>
      <c r="G20" s="98"/>
      <c r="H20" s="98"/>
      <c r="I20" s="98"/>
      <c r="J20" s="98"/>
      <c r="K20" s="98"/>
      <c r="L20" s="98"/>
      <c r="M20" s="98"/>
      <c r="N20" s="99"/>
    </row>
    <row r="21" spans="1:14">
      <c r="A21" s="191" t="s">
        <v>96</v>
      </c>
      <c r="B21" s="192"/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193"/>
    </row>
    <row r="22" spans="1:14">
      <c r="A22" s="182" t="s">
        <v>97</v>
      </c>
      <c r="B22" s="183"/>
      <c r="C22" s="184"/>
      <c r="D22" s="194" t="e">
        <f ca="1">AVERAGE(N39:N1038)</f>
        <v>#REF!</v>
      </c>
      <c r="E22" s="186"/>
      <c r="F22" s="187"/>
      <c r="G22" s="188" t="s">
        <v>98</v>
      </c>
      <c r="H22" s="189"/>
      <c r="I22" s="189"/>
      <c r="J22" s="189"/>
      <c r="K22" s="189"/>
      <c r="L22" s="189"/>
      <c r="M22" s="189"/>
      <c r="N22" s="190"/>
    </row>
    <row r="23" spans="1:14">
      <c r="A23" s="195" t="s">
        <v>99</v>
      </c>
      <c r="B23" s="196"/>
      <c r="C23" s="197"/>
      <c r="D23" s="198" t="e">
        <f ca="1">STDEV(N39:N1038)</f>
        <v>#REF!</v>
      </c>
      <c r="E23" s="199"/>
      <c r="F23" s="200"/>
      <c r="G23" s="201" t="s">
        <v>100</v>
      </c>
      <c r="H23" s="202"/>
      <c r="I23" s="202"/>
      <c r="J23" s="202"/>
      <c r="K23" s="202"/>
      <c r="L23" s="202"/>
      <c r="M23" s="202"/>
      <c r="N23" s="203"/>
    </row>
    <row r="24" spans="1:14">
      <c r="A24" s="173" t="s">
        <v>101</v>
      </c>
      <c r="B24" s="174"/>
      <c r="C24" s="175"/>
      <c r="D24" s="176" t="e">
        <f ca="1">PERCENTILE(N39:N1038,0.05)</f>
        <v>#REF!</v>
      </c>
      <c r="E24" s="177"/>
      <c r="F24" s="178"/>
      <c r="G24" s="179" t="s">
        <v>102</v>
      </c>
      <c r="H24" s="180"/>
      <c r="I24" s="180"/>
      <c r="J24" s="180"/>
      <c r="K24" s="180"/>
      <c r="L24" s="180"/>
      <c r="M24" s="180"/>
      <c r="N24" s="181"/>
    </row>
    <row r="25" spans="1:14">
      <c r="A25" s="182" t="s">
        <v>103</v>
      </c>
      <c r="B25" s="183"/>
      <c r="C25" s="184"/>
      <c r="D25" s="185" t="e">
        <f ca="1">COUNTIF(N39:N1038,"&gt;0")/COUNT(N39:N1038)</f>
        <v>#DIV/0!</v>
      </c>
      <c r="E25" s="186"/>
      <c r="F25" s="187"/>
      <c r="G25" s="188" t="s">
        <v>104</v>
      </c>
      <c r="H25" s="189"/>
      <c r="I25" s="189"/>
      <c r="J25" s="189"/>
      <c r="K25" s="189"/>
      <c r="L25" s="189"/>
      <c r="M25" s="189"/>
      <c r="N25" s="190"/>
    </row>
    <row r="26" spans="1:14">
      <c r="A26" s="173" t="s">
        <v>105</v>
      </c>
      <c r="B26" s="174"/>
      <c r="C26" s="175"/>
      <c r="D26" s="176" t="e">
        <f ca="1">MIN(N39:N1038)</f>
        <v>#REF!</v>
      </c>
      <c r="E26" s="177"/>
      <c r="F26" s="178"/>
      <c r="G26" s="179" t="s">
        <v>106</v>
      </c>
      <c r="H26" s="180"/>
      <c r="I26" s="180"/>
      <c r="J26" s="180"/>
      <c r="K26" s="180"/>
      <c r="L26" s="180"/>
      <c r="M26" s="180"/>
      <c r="N26" s="181"/>
    </row>
    <row r="27" spans="1:14">
      <c r="A27" s="191" t="s">
        <v>107</v>
      </c>
      <c r="B27" s="192"/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3"/>
    </row>
    <row r="28" spans="1:14" ht="35.450000000000003">
      <c r="A28" s="109" t="s">
        <v>108</v>
      </c>
      <c r="B28" s="110" t="s">
        <v>109</v>
      </c>
      <c r="C28" s="110" t="s">
        <v>110</v>
      </c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9"/>
    </row>
    <row r="29" spans="1:14" ht="96.6">
      <c r="A29" s="88" t="s">
        <v>111</v>
      </c>
      <c r="B29" s="100" t="e">
        <f ca="1">CORREL(B39:B1038,N39:N1038)</f>
        <v>#REF!</v>
      </c>
      <c r="C29" s="89" t="s">
        <v>112</v>
      </c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9"/>
    </row>
    <row r="30" spans="1:14" ht="60.6">
      <c r="A30" s="90" t="s">
        <v>113</v>
      </c>
      <c r="B30" s="101" t="e">
        <f ca="1">CORREL(C39:C1038,N39:N1038)</f>
        <v>#REF!</v>
      </c>
      <c r="C30" s="91" t="s">
        <v>114</v>
      </c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9"/>
    </row>
    <row r="31" spans="1:14" ht="84.6">
      <c r="A31" s="88" t="s">
        <v>115</v>
      </c>
      <c r="B31" s="100" t="e">
        <f ca="1">CORREL(D39:D1038,N39:N1038)</f>
        <v>#REF!</v>
      </c>
      <c r="C31" s="89" t="s">
        <v>116</v>
      </c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9"/>
    </row>
    <row r="32" spans="1:14" ht="84.6">
      <c r="A32" s="90" t="s">
        <v>117</v>
      </c>
      <c r="B32" s="101" t="e">
        <f ca="1">CORREL(E39:E1038,N39:N1038)</f>
        <v>#REF!</v>
      </c>
      <c r="C32" s="91" t="s">
        <v>118</v>
      </c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9"/>
    </row>
    <row r="33" spans="1:14" ht="84.6">
      <c r="A33" s="88" t="s">
        <v>119</v>
      </c>
      <c r="B33" s="100" t="e">
        <f ca="1">CORREL(F39:F1038,N39:N1038)</f>
        <v>#REF!</v>
      </c>
      <c r="C33" s="89" t="s">
        <v>120</v>
      </c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9"/>
    </row>
    <row r="34" spans="1:14" ht="84.6">
      <c r="A34" s="90" t="s">
        <v>121</v>
      </c>
      <c r="B34" s="101" t="e">
        <f ca="1">CORREL(G39:G1038,N39:N1038)</f>
        <v>#REF!</v>
      </c>
      <c r="C34" s="91" t="s">
        <v>122</v>
      </c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9"/>
    </row>
    <row r="35" spans="1:14" ht="96.6">
      <c r="A35" s="88" t="s">
        <v>123</v>
      </c>
      <c r="B35" s="100" t="e">
        <f ca="1">CORREL(H39:H1038,N39:N1038)</f>
        <v>#REF!</v>
      </c>
      <c r="C35" s="89" t="s">
        <v>124</v>
      </c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9"/>
    </row>
    <row r="36" spans="1:14">
      <c r="A36" s="191" t="s">
        <v>125</v>
      </c>
      <c r="B36" s="192"/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3"/>
    </row>
    <row r="37" spans="1:14" ht="32.450000000000003">
      <c r="A37" s="92" t="s">
        <v>126</v>
      </c>
      <c r="B37" s="93" t="s">
        <v>127</v>
      </c>
      <c r="C37" s="93" t="s">
        <v>128</v>
      </c>
      <c r="D37" s="93" t="s">
        <v>129</v>
      </c>
      <c r="E37" s="93" t="s">
        <v>130</v>
      </c>
      <c r="F37" s="93" t="s">
        <v>131</v>
      </c>
      <c r="G37" s="93" t="s">
        <v>132</v>
      </c>
      <c r="H37" s="93" t="s">
        <v>133</v>
      </c>
      <c r="I37" s="93" t="s">
        <v>134</v>
      </c>
      <c r="J37" s="93" t="s">
        <v>135</v>
      </c>
      <c r="K37" s="93" t="s">
        <v>136</v>
      </c>
      <c r="L37" s="93" t="s">
        <v>137</v>
      </c>
      <c r="M37" s="93" t="s">
        <v>138</v>
      </c>
      <c r="N37" s="94" t="s">
        <v>139</v>
      </c>
    </row>
    <row r="38" spans="1:14">
      <c r="A38" s="170" t="s">
        <v>140</v>
      </c>
      <c r="B38" s="171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2"/>
    </row>
    <row r="39" spans="1:14">
      <c r="A39" s="95">
        <v>1</v>
      </c>
      <c r="B39" s="102" t="e">
        <f ca="1">_xlfn.LOGNORM.INV(RAND(),$D$5,$E$5)</f>
        <v>#REF!</v>
      </c>
      <c r="C39" s="102" t="e">
        <f ca="1">_xlfn.LOGNORM.INV(RAND(),$D$6,$E$6)</f>
        <v>#REF!</v>
      </c>
      <c r="D39" s="102" t="e">
        <f ca="1">_xlfn.LOGNORM.INV(RAND(),$D$7,$E$7)</f>
        <v>#REF!</v>
      </c>
      <c r="E39" s="102" t="e">
        <f ca="1">_xlfn.LOGNORM.INV(RAND(),$D$8,$E$8)</f>
        <v>#REF!</v>
      </c>
      <c r="F39" s="102" t="e">
        <f ca="1">_xlfn.LOGNORM.INV(RAND(),$D$9,$E$9)</f>
        <v>#REF!</v>
      </c>
      <c r="G39" s="103">
        <f ca="1">_xlfn.NORM.INV(RAND(),$B$12,$C$12)</f>
        <v>0.39398444938664917</v>
      </c>
      <c r="H39" s="103">
        <f ca="1">_xlfn.NORM.INV(RAND(),$B$13,$C$13)</f>
        <v>0.18100883304509466</v>
      </c>
      <c r="I39" s="103" t="e">
        <f ca="1">G39*($E$16/24)+H39*(1-$E$16/24)</f>
        <v>#REF!</v>
      </c>
      <c r="J39" s="103" t="e">
        <f ca="1">G39*($E$17/24)+H39*(1-$E$17/24)</f>
        <v>#REF!</v>
      </c>
      <c r="K39" s="103" t="e">
        <f ca="1">G39*($E$18/24)+H39*(1-$E$18/24)</f>
        <v>#REF!</v>
      </c>
      <c r="L39" s="103" t="e">
        <f ca="1">G39*($E$19/24)+H39*(1-$E$19/24)</f>
        <v>#REF!</v>
      </c>
      <c r="M39" s="103" t="e">
        <f ca="1">G39*($E$20/24)+H39*(1-$E$20/24)</f>
        <v>#REF!</v>
      </c>
      <c r="N39" s="104" t="e">
        <f ca="1">B39*$B$16+C39*$B$17+D39*$B$18+E39*$B$19+F39*$B$20-($C$16*$D$16*I39+$C$17*$D$17*J39+$C$18*$D$18*K39+$C$19*$D$19*L39+$C$20*$D$20*M39)</f>
        <v>#REF!</v>
      </c>
    </row>
    <row r="40" spans="1:14">
      <c r="A40" s="96">
        <v>2</v>
      </c>
      <c r="B40" s="102" t="e">
        <f t="shared" ref="B40:B103" ca="1" si="0">_xlfn.LOGNORM.INV(RAND(),$D$5,$E$5)</f>
        <v>#REF!</v>
      </c>
      <c r="C40" s="102" t="e">
        <f t="shared" ref="C40:C103" ca="1" si="1">_xlfn.LOGNORM.INV(RAND(),$D$6,$E$6)</f>
        <v>#REF!</v>
      </c>
      <c r="D40" s="102" t="e">
        <f t="shared" ref="D40:D103" ca="1" si="2">_xlfn.LOGNORM.INV(RAND(),$D$7,$E$7)</f>
        <v>#REF!</v>
      </c>
      <c r="E40" s="102" t="e">
        <f t="shared" ref="E40:E103" ca="1" si="3">_xlfn.LOGNORM.INV(RAND(),$D$8,$E$8)</f>
        <v>#REF!</v>
      </c>
      <c r="F40" s="102" t="e">
        <f t="shared" ref="F40:F103" ca="1" si="4">_xlfn.LOGNORM.INV(RAND(),$D$9,$E$9)</f>
        <v>#REF!</v>
      </c>
      <c r="G40" s="103">
        <f t="shared" ref="G40:G103" ca="1" si="5">_xlfn.NORM.INV(RAND(),$B$12,$C$12)</f>
        <v>0.45081811362895963</v>
      </c>
      <c r="H40" s="103">
        <f t="shared" ref="H40:H103" ca="1" si="6">_xlfn.NORM.INV(RAND(),$B$13,$C$13)</f>
        <v>0.21294909856257135</v>
      </c>
      <c r="I40" s="103" t="e">
        <f ca="1">G40*($E$16/24)+H40*(1-$E$16/24)</f>
        <v>#REF!</v>
      </c>
      <c r="J40" s="103" t="e">
        <f t="shared" ref="J40:J103" ca="1" si="7">G40*($E$17/24)+H40*(1-$E$17/24)</f>
        <v>#REF!</v>
      </c>
      <c r="K40" s="103" t="e">
        <f ca="1">G40*($E$18/24)+H40*(1-$E$18/24)</f>
        <v>#REF!</v>
      </c>
      <c r="L40" s="103" t="e">
        <f t="shared" ref="L40:L103" ca="1" si="8">G40*($E$19/24)+H40*(1-$E$19/24)</f>
        <v>#REF!</v>
      </c>
      <c r="M40" s="103" t="e">
        <f t="shared" ref="M40:M103" ca="1" si="9">G40*($E$20/24)+H40*(1-$E$20/24)</f>
        <v>#REF!</v>
      </c>
      <c r="N40" s="104" t="e">
        <f ca="1">B40*$B$16+C40*$B$17+D40*$B$18+E40*$B$19+F40*$B$20-($C$16*$D$16*I40+$C$17*$D$17*J40+$C$18*$D$18*K40+$C$19*$D$19*L40+$C$20*$D$20*M40)</f>
        <v>#REF!</v>
      </c>
    </row>
    <row r="41" spans="1:14">
      <c r="A41" s="95">
        <v>3</v>
      </c>
      <c r="B41" s="102" t="e">
        <f t="shared" ca="1" si="0"/>
        <v>#REF!</v>
      </c>
      <c r="C41" s="102" t="e">
        <f t="shared" ca="1" si="1"/>
        <v>#REF!</v>
      </c>
      <c r="D41" s="102" t="e">
        <f t="shared" ca="1" si="2"/>
        <v>#REF!</v>
      </c>
      <c r="E41" s="102" t="e">
        <f t="shared" ca="1" si="3"/>
        <v>#REF!</v>
      </c>
      <c r="F41" s="102" t="e">
        <f t="shared" ca="1" si="4"/>
        <v>#REF!</v>
      </c>
      <c r="G41" s="103">
        <f t="shared" ca="1" si="5"/>
        <v>0.45323349715197192</v>
      </c>
      <c r="H41" s="103">
        <f t="shared" ca="1" si="6"/>
        <v>0.19522047106214718</v>
      </c>
      <c r="I41" s="103" t="e">
        <f t="shared" ref="I41:I103" ca="1" si="10">G41*($E$16/24)+H41*(1-$E$16/24)</f>
        <v>#REF!</v>
      </c>
      <c r="J41" s="103" t="e">
        <f ca="1">G41*($E$17/24)+H41*(1-$E$17/24)</f>
        <v>#REF!</v>
      </c>
      <c r="K41" s="103" t="e">
        <f t="shared" ref="K41:K103" ca="1" si="11">G41*($E$18/24)+H41*(1-$E$18/24)</f>
        <v>#REF!</v>
      </c>
      <c r="L41" s="103" t="e">
        <f t="shared" ca="1" si="8"/>
        <v>#REF!</v>
      </c>
      <c r="M41" s="103" t="e">
        <f t="shared" ca="1" si="9"/>
        <v>#REF!</v>
      </c>
      <c r="N41" s="104" t="e">
        <f ca="1">B41*$B$16+C41*$B$17+D41*$B$18+E41*$B$19+F41*$B$20-($C$16*$D$16*I41+$C$17*$D$17*J41+$C$18*$D$18*K41+$C$19*$D$19*L41+$C$20*$D$20*M41)</f>
        <v>#REF!</v>
      </c>
    </row>
    <row r="42" spans="1:14">
      <c r="A42" s="96">
        <v>4</v>
      </c>
      <c r="B42" s="102" t="e">
        <f t="shared" ca="1" si="0"/>
        <v>#REF!</v>
      </c>
      <c r="C42" s="102" t="e">
        <f t="shared" ca="1" si="1"/>
        <v>#REF!</v>
      </c>
      <c r="D42" s="102" t="e">
        <f t="shared" ca="1" si="2"/>
        <v>#REF!</v>
      </c>
      <c r="E42" s="102" t="e">
        <f t="shared" ca="1" si="3"/>
        <v>#REF!</v>
      </c>
      <c r="F42" s="102" t="e">
        <f ca="1">_xlfn.LOGNORM.INV(RAND(),$D$9,$E$9)</f>
        <v>#REF!</v>
      </c>
      <c r="G42" s="103">
        <f t="shared" ca="1" si="5"/>
        <v>0.4586824359954742</v>
      </c>
      <c r="H42" s="103">
        <f t="shared" ca="1" si="6"/>
        <v>0.20141137057018774</v>
      </c>
      <c r="I42" s="103" t="e">
        <f ca="1">G42*($E$16/24)+H42*(1-$E$16/24)</f>
        <v>#REF!</v>
      </c>
      <c r="J42" s="103" t="e">
        <f t="shared" ca="1" si="7"/>
        <v>#REF!</v>
      </c>
      <c r="K42" s="103" t="e">
        <f t="shared" ca="1" si="11"/>
        <v>#REF!</v>
      </c>
      <c r="L42" s="103" t="e">
        <f t="shared" ca="1" si="8"/>
        <v>#REF!</v>
      </c>
      <c r="M42" s="103" t="e">
        <f t="shared" ca="1" si="9"/>
        <v>#REF!</v>
      </c>
      <c r="N42" s="104" t="e">
        <f ca="1">B42*$B$16+C42*$B$17+D42*$B$18+E42*$B$19+F42*$B$20-($C$16*$D$16*I42+$C$17*$D$17*J42+$C$18*$D$18*K42+$C$19*$D$19*L42+$C$20*$D$20*M42)</f>
        <v>#REF!</v>
      </c>
    </row>
    <row r="43" spans="1:14">
      <c r="A43" s="95">
        <v>5</v>
      </c>
      <c r="B43" s="102" t="e">
        <f t="shared" ca="1" si="0"/>
        <v>#REF!</v>
      </c>
      <c r="C43" s="102" t="e">
        <f t="shared" ca="1" si="1"/>
        <v>#REF!</v>
      </c>
      <c r="D43" s="102" t="e">
        <f t="shared" ca="1" si="2"/>
        <v>#REF!</v>
      </c>
      <c r="E43" s="102" t="e">
        <f t="shared" ca="1" si="3"/>
        <v>#REF!</v>
      </c>
      <c r="F43" s="102" t="e">
        <f t="shared" ca="1" si="4"/>
        <v>#REF!</v>
      </c>
      <c r="G43" s="103">
        <f t="shared" ca="1" si="5"/>
        <v>0.45939461611827537</v>
      </c>
      <c r="H43" s="103">
        <f t="shared" ca="1" si="6"/>
        <v>0.21557776644791923</v>
      </c>
      <c r="I43" s="103" t="e">
        <f t="shared" ca="1" si="10"/>
        <v>#REF!</v>
      </c>
      <c r="J43" s="103" t="e">
        <f t="shared" ca="1" si="7"/>
        <v>#REF!</v>
      </c>
      <c r="K43" s="103" t="e">
        <f t="shared" ca="1" si="11"/>
        <v>#REF!</v>
      </c>
      <c r="L43" s="103" t="e">
        <f t="shared" ca="1" si="8"/>
        <v>#REF!</v>
      </c>
      <c r="M43" s="103" t="e">
        <f t="shared" ca="1" si="9"/>
        <v>#REF!</v>
      </c>
      <c r="N43" s="104" t="e">
        <f ca="1">B43*$B$16+C43*$B$17+D43*$B$18+E43*$B$19+F43*$B$20-($C$16*$D$16*I43+$C$17*$D$17*J43+$C$18*$D$18*K43+$C$19*$D$19*L43+$C$20*$D$20*M43)</f>
        <v>#REF!</v>
      </c>
    </row>
    <row r="44" spans="1:14">
      <c r="A44" s="96">
        <v>6</v>
      </c>
      <c r="B44" s="102" t="e">
        <f t="shared" ca="1" si="0"/>
        <v>#REF!</v>
      </c>
      <c r="C44" s="102" t="e">
        <f t="shared" ca="1" si="1"/>
        <v>#REF!</v>
      </c>
      <c r="D44" s="102" t="e">
        <f t="shared" ca="1" si="2"/>
        <v>#REF!</v>
      </c>
      <c r="E44" s="102" t="e">
        <f t="shared" ca="1" si="3"/>
        <v>#REF!</v>
      </c>
      <c r="F44" s="102" t="e">
        <f t="shared" ca="1" si="4"/>
        <v>#REF!</v>
      </c>
      <c r="G44" s="103">
        <f t="shared" ca="1" si="5"/>
        <v>0.47761611904950185</v>
      </c>
      <c r="H44" s="103">
        <f t="shared" ca="1" si="6"/>
        <v>0.21701333180420071</v>
      </c>
      <c r="I44" s="103" t="e">
        <f t="shared" ca="1" si="10"/>
        <v>#REF!</v>
      </c>
      <c r="J44" s="103" t="e">
        <f t="shared" ca="1" si="7"/>
        <v>#REF!</v>
      </c>
      <c r="K44" s="103" t="e">
        <f t="shared" ca="1" si="11"/>
        <v>#REF!</v>
      </c>
      <c r="L44" s="103" t="e">
        <f t="shared" ca="1" si="8"/>
        <v>#REF!</v>
      </c>
      <c r="M44" s="103" t="e">
        <f t="shared" ca="1" si="9"/>
        <v>#REF!</v>
      </c>
      <c r="N44" s="104" t="e">
        <f t="shared" ref="N44:N103" ca="1" si="12">B44*$B$16+C44*$B$17+D44*$B$18+E44*$B$19+F44*$B$20-($C$16*$D$16*I44+$C$17*$D$17*J44+$C$18*$D$18*K44+$C$19*$D$19*L44+$C$20*$D$20*M44)</f>
        <v>#REF!</v>
      </c>
    </row>
    <row r="45" spans="1:14">
      <c r="A45" s="95">
        <v>7</v>
      </c>
      <c r="B45" s="102" t="e">
        <f t="shared" ca="1" si="0"/>
        <v>#REF!</v>
      </c>
      <c r="C45" s="102" t="e">
        <f t="shared" ca="1" si="1"/>
        <v>#REF!</v>
      </c>
      <c r="D45" s="102" t="e">
        <f t="shared" ca="1" si="2"/>
        <v>#REF!</v>
      </c>
      <c r="E45" s="102" t="e">
        <f t="shared" ca="1" si="3"/>
        <v>#REF!</v>
      </c>
      <c r="F45" s="102" t="e">
        <f t="shared" ca="1" si="4"/>
        <v>#REF!</v>
      </c>
      <c r="G45" s="103">
        <f t="shared" ca="1" si="5"/>
        <v>0.42365290235149672</v>
      </c>
      <c r="H45" s="103">
        <f t="shared" ca="1" si="6"/>
        <v>0.20828363849890444</v>
      </c>
      <c r="I45" s="103" t="e">
        <f t="shared" ca="1" si="10"/>
        <v>#REF!</v>
      </c>
      <c r="J45" s="103" t="e">
        <f t="shared" ca="1" si="7"/>
        <v>#REF!</v>
      </c>
      <c r="K45" s="103" t="e">
        <f t="shared" ca="1" si="11"/>
        <v>#REF!</v>
      </c>
      <c r="L45" s="103" t="e">
        <f t="shared" ca="1" si="8"/>
        <v>#REF!</v>
      </c>
      <c r="M45" s="103" t="e">
        <f t="shared" ca="1" si="9"/>
        <v>#REF!</v>
      </c>
      <c r="N45" s="104" t="e">
        <f t="shared" ca="1" si="12"/>
        <v>#REF!</v>
      </c>
    </row>
    <row r="46" spans="1:14">
      <c r="A46" s="96">
        <v>8</v>
      </c>
      <c r="B46" s="102" t="e">
        <f t="shared" ca="1" si="0"/>
        <v>#REF!</v>
      </c>
      <c r="C46" s="102" t="e">
        <f t="shared" ca="1" si="1"/>
        <v>#REF!</v>
      </c>
      <c r="D46" s="102" t="e">
        <f t="shared" ca="1" si="2"/>
        <v>#REF!</v>
      </c>
      <c r="E46" s="102" t="e">
        <f t="shared" ca="1" si="3"/>
        <v>#REF!</v>
      </c>
      <c r="F46" s="102" t="e">
        <f t="shared" ca="1" si="4"/>
        <v>#REF!</v>
      </c>
      <c r="G46" s="103">
        <f t="shared" ca="1" si="5"/>
        <v>0.42999766633619724</v>
      </c>
      <c r="H46" s="103">
        <f t="shared" ca="1" si="6"/>
        <v>0.16570404801267904</v>
      </c>
      <c r="I46" s="103" t="e">
        <f t="shared" ca="1" si="10"/>
        <v>#REF!</v>
      </c>
      <c r="J46" s="103" t="e">
        <f t="shared" ca="1" si="7"/>
        <v>#REF!</v>
      </c>
      <c r="K46" s="103" t="e">
        <f t="shared" ca="1" si="11"/>
        <v>#REF!</v>
      </c>
      <c r="L46" s="103" t="e">
        <f t="shared" ca="1" si="8"/>
        <v>#REF!</v>
      </c>
      <c r="M46" s="103" t="e">
        <f t="shared" ca="1" si="9"/>
        <v>#REF!</v>
      </c>
      <c r="N46" s="104" t="e">
        <f t="shared" ca="1" si="12"/>
        <v>#REF!</v>
      </c>
    </row>
    <row r="47" spans="1:14">
      <c r="A47" s="95">
        <v>9</v>
      </c>
      <c r="B47" s="102" t="e">
        <f t="shared" ca="1" si="0"/>
        <v>#REF!</v>
      </c>
      <c r="C47" s="102" t="e">
        <f t="shared" ca="1" si="1"/>
        <v>#REF!</v>
      </c>
      <c r="D47" s="102" t="e">
        <f t="shared" ca="1" si="2"/>
        <v>#REF!</v>
      </c>
      <c r="E47" s="102" t="e">
        <f t="shared" ca="1" si="3"/>
        <v>#REF!</v>
      </c>
      <c r="F47" s="102" t="e">
        <f t="shared" ca="1" si="4"/>
        <v>#REF!</v>
      </c>
      <c r="G47" s="103">
        <f t="shared" ca="1" si="5"/>
        <v>0.44292737713462615</v>
      </c>
      <c r="H47" s="103">
        <f t="shared" ca="1" si="6"/>
        <v>0.1935941875069167</v>
      </c>
      <c r="I47" s="103" t="e">
        <f t="shared" ca="1" si="10"/>
        <v>#REF!</v>
      </c>
      <c r="J47" s="103" t="e">
        <f t="shared" ca="1" si="7"/>
        <v>#REF!</v>
      </c>
      <c r="K47" s="103" t="e">
        <f t="shared" ca="1" si="11"/>
        <v>#REF!</v>
      </c>
      <c r="L47" s="103" t="e">
        <f t="shared" ca="1" si="8"/>
        <v>#REF!</v>
      </c>
      <c r="M47" s="103" t="e">
        <f t="shared" ca="1" si="9"/>
        <v>#REF!</v>
      </c>
      <c r="N47" s="104" t="e">
        <f t="shared" ca="1" si="12"/>
        <v>#REF!</v>
      </c>
    </row>
    <row r="48" spans="1:14">
      <c r="A48" s="96">
        <v>10</v>
      </c>
      <c r="B48" s="102" t="e">
        <f t="shared" ca="1" si="0"/>
        <v>#REF!</v>
      </c>
      <c r="C48" s="102" t="e">
        <f t="shared" ca="1" si="1"/>
        <v>#REF!</v>
      </c>
      <c r="D48" s="102" t="e">
        <f t="shared" ca="1" si="2"/>
        <v>#REF!</v>
      </c>
      <c r="E48" s="102" t="e">
        <f t="shared" ca="1" si="3"/>
        <v>#REF!</v>
      </c>
      <c r="F48" s="102" t="e">
        <f t="shared" ca="1" si="4"/>
        <v>#REF!</v>
      </c>
      <c r="G48" s="103">
        <f t="shared" ca="1" si="5"/>
        <v>0.41669703098725458</v>
      </c>
      <c r="H48" s="103">
        <f t="shared" ca="1" si="6"/>
        <v>0.14635769646542424</v>
      </c>
      <c r="I48" s="103" t="e">
        <f t="shared" ca="1" si="10"/>
        <v>#REF!</v>
      </c>
      <c r="J48" s="103" t="e">
        <f t="shared" ca="1" si="7"/>
        <v>#REF!</v>
      </c>
      <c r="K48" s="103" t="e">
        <f t="shared" ca="1" si="11"/>
        <v>#REF!</v>
      </c>
      <c r="L48" s="103" t="e">
        <f t="shared" ca="1" si="8"/>
        <v>#REF!</v>
      </c>
      <c r="M48" s="103" t="e">
        <f t="shared" ca="1" si="9"/>
        <v>#REF!</v>
      </c>
      <c r="N48" s="104" t="e">
        <f t="shared" ca="1" si="12"/>
        <v>#REF!</v>
      </c>
    </row>
    <row r="49" spans="1:14">
      <c r="A49" s="95">
        <v>11</v>
      </c>
      <c r="B49" s="102" t="e">
        <f t="shared" ca="1" si="0"/>
        <v>#REF!</v>
      </c>
      <c r="C49" s="102" t="e">
        <f t="shared" ca="1" si="1"/>
        <v>#REF!</v>
      </c>
      <c r="D49" s="102" t="e">
        <f t="shared" ca="1" si="2"/>
        <v>#REF!</v>
      </c>
      <c r="E49" s="102" t="e">
        <f t="shared" ca="1" si="3"/>
        <v>#REF!</v>
      </c>
      <c r="F49" s="102" t="e">
        <f t="shared" ca="1" si="4"/>
        <v>#REF!</v>
      </c>
      <c r="G49" s="103">
        <f t="shared" ca="1" si="5"/>
        <v>0.43512103848705158</v>
      </c>
      <c r="H49" s="103">
        <f t="shared" ca="1" si="6"/>
        <v>0.20080459022834221</v>
      </c>
      <c r="I49" s="103" t="e">
        <f t="shared" ca="1" si="10"/>
        <v>#REF!</v>
      </c>
      <c r="J49" s="103" t="e">
        <f t="shared" ca="1" si="7"/>
        <v>#REF!</v>
      </c>
      <c r="K49" s="103" t="e">
        <f t="shared" ca="1" si="11"/>
        <v>#REF!</v>
      </c>
      <c r="L49" s="103" t="e">
        <f t="shared" ca="1" si="8"/>
        <v>#REF!</v>
      </c>
      <c r="M49" s="103" t="e">
        <f t="shared" ca="1" si="9"/>
        <v>#REF!</v>
      </c>
      <c r="N49" s="104" t="e">
        <f t="shared" ca="1" si="12"/>
        <v>#REF!</v>
      </c>
    </row>
    <row r="50" spans="1:14">
      <c r="A50" s="96">
        <v>12</v>
      </c>
      <c r="B50" s="102" t="e">
        <f t="shared" ca="1" si="0"/>
        <v>#REF!</v>
      </c>
      <c r="C50" s="102" t="e">
        <f t="shared" ca="1" si="1"/>
        <v>#REF!</v>
      </c>
      <c r="D50" s="102" t="e">
        <f t="shared" ca="1" si="2"/>
        <v>#REF!</v>
      </c>
      <c r="E50" s="102" t="e">
        <f t="shared" ca="1" si="3"/>
        <v>#REF!</v>
      </c>
      <c r="F50" s="102" t="e">
        <f t="shared" ca="1" si="4"/>
        <v>#REF!</v>
      </c>
      <c r="G50" s="103">
        <f t="shared" ca="1" si="5"/>
        <v>0.4047233620717936</v>
      </c>
      <c r="H50" s="103">
        <f t="shared" ca="1" si="6"/>
        <v>0.2016823880726985</v>
      </c>
      <c r="I50" s="103" t="e">
        <f t="shared" ca="1" si="10"/>
        <v>#REF!</v>
      </c>
      <c r="J50" s="103" t="e">
        <f t="shared" ca="1" si="7"/>
        <v>#REF!</v>
      </c>
      <c r="K50" s="103" t="e">
        <f t="shared" ca="1" si="11"/>
        <v>#REF!</v>
      </c>
      <c r="L50" s="103" t="e">
        <f t="shared" ca="1" si="8"/>
        <v>#REF!</v>
      </c>
      <c r="M50" s="103" t="e">
        <f t="shared" ca="1" si="9"/>
        <v>#REF!</v>
      </c>
      <c r="N50" s="104" t="e">
        <f t="shared" ca="1" si="12"/>
        <v>#REF!</v>
      </c>
    </row>
    <row r="51" spans="1:14">
      <c r="A51" s="95">
        <v>13</v>
      </c>
      <c r="B51" s="102" t="e">
        <f t="shared" ca="1" si="0"/>
        <v>#REF!</v>
      </c>
      <c r="C51" s="102" t="e">
        <f t="shared" ca="1" si="1"/>
        <v>#REF!</v>
      </c>
      <c r="D51" s="102" t="e">
        <f t="shared" ca="1" si="2"/>
        <v>#REF!</v>
      </c>
      <c r="E51" s="102" t="e">
        <f t="shared" ca="1" si="3"/>
        <v>#REF!</v>
      </c>
      <c r="F51" s="102" t="e">
        <f t="shared" ca="1" si="4"/>
        <v>#REF!</v>
      </c>
      <c r="G51" s="103">
        <f t="shared" ca="1" si="5"/>
        <v>0.43626399197625926</v>
      </c>
      <c r="H51" s="103">
        <f t="shared" ca="1" si="6"/>
        <v>0.21228713101613439</v>
      </c>
      <c r="I51" s="103" t="e">
        <f t="shared" ca="1" si="10"/>
        <v>#REF!</v>
      </c>
      <c r="J51" s="103" t="e">
        <f t="shared" ca="1" si="7"/>
        <v>#REF!</v>
      </c>
      <c r="K51" s="103" t="e">
        <f t="shared" ca="1" si="11"/>
        <v>#REF!</v>
      </c>
      <c r="L51" s="103" t="e">
        <f t="shared" ca="1" si="8"/>
        <v>#REF!</v>
      </c>
      <c r="M51" s="103" t="e">
        <f t="shared" ca="1" si="9"/>
        <v>#REF!</v>
      </c>
      <c r="N51" s="104" t="e">
        <f t="shared" ca="1" si="12"/>
        <v>#REF!</v>
      </c>
    </row>
    <row r="52" spans="1:14">
      <c r="A52" s="96">
        <v>14</v>
      </c>
      <c r="B52" s="102" t="e">
        <f t="shared" ca="1" si="0"/>
        <v>#REF!</v>
      </c>
      <c r="C52" s="102" t="e">
        <f t="shared" ca="1" si="1"/>
        <v>#REF!</v>
      </c>
      <c r="D52" s="102" t="e">
        <f t="shared" ca="1" si="2"/>
        <v>#REF!</v>
      </c>
      <c r="E52" s="102" t="e">
        <f t="shared" ca="1" si="3"/>
        <v>#REF!</v>
      </c>
      <c r="F52" s="102" t="e">
        <f t="shared" ca="1" si="4"/>
        <v>#REF!</v>
      </c>
      <c r="G52" s="103">
        <f t="shared" ca="1" si="5"/>
        <v>0.4191659638219255</v>
      </c>
      <c r="H52" s="103">
        <f t="shared" ca="1" si="6"/>
        <v>0.20807580850118584</v>
      </c>
      <c r="I52" s="103" t="e">
        <f t="shared" ca="1" si="10"/>
        <v>#REF!</v>
      </c>
      <c r="J52" s="103" t="e">
        <f t="shared" ca="1" si="7"/>
        <v>#REF!</v>
      </c>
      <c r="K52" s="103" t="e">
        <f t="shared" ca="1" si="11"/>
        <v>#REF!</v>
      </c>
      <c r="L52" s="103" t="e">
        <f t="shared" ca="1" si="8"/>
        <v>#REF!</v>
      </c>
      <c r="M52" s="103" t="e">
        <f t="shared" ca="1" si="9"/>
        <v>#REF!</v>
      </c>
      <c r="N52" s="104" t="e">
        <f t="shared" ca="1" si="12"/>
        <v>#REF!</v>
      </c>
    </row>
    <row r="53" spans="1:14">
      <c r="A53" s="95">
        <v>15</v>
      </c>
      <c r="B53" s="102" t="e">
        <f t="shared" ca="1" si="0"/>
        <v>#REF!</v>
      </c>
      <c r="C53" s="102" t="e">
        <f t="shared" ca="1" si="1"/>
        <v>#REF!</v>
      </c>
      <c r="D53" s="102" t="e">
        <f t="shared" ca="1" si="2"/>
        <v>#REF!</v>
      </c>
      <c r="E53" s="102" t="e">
        <f t="shared" ca="1" si="3"/>
        <v>#REF!</v>
      </c>
      <c r="F53" s="102" t="e">
        <f t="shared" ca="1" si="4"/>
        <v>#REF!</v>
      </c>
      <c r="G53" s="103">
        <f t="shared" ca="1" si="5"/>
        <v>0.42427030960817896</v>
      </c>
      <c r="H53" s="103">
        <f t="shared" ca="1" si="6"/>
        <v>0.20138099689168243</v>
      </c>
      <c r="I53" s="103" t="e">
        <f t="shared" ca="1" si="10"/>
        <v>#REF!</v>
      </c>
      <c r="J53" s="103" t="e">
        <f t="shared" ca="1" si="7"/>
        <v>#REF!</v>
      </c>
      <c r="K53" s="103" t="e">
        <f t="shared" ca="1" si="11"/>
        <v>#REF!</v>
      </c>
      <c r="L53" s="103" t="e">
        <f t="shared" ca="1" si="8"/>
        <v>#REF!</v>
      </c>
      <c r="M53" s="103" t="e">
        <f t="shared" ca="1" si="9"/>
        <v>#REF!</v>
      </c>
      <c r="N53" s="104" t="e">
        <f t="shared" ca="1" si="12"/>
        <v>#REF!</v>
      </c>
    </row>
    <row r="54" spans="1:14">
      <c r="A54" s="96">
        <v>16</v>
      </c>
      <c r="B54" s="102" t="e">
        <f t="shared" ca="1" si="0"/>
        <v>#REF!</v>
      </c>
      <c r="C54" s="102" t="e">
        <f t="shared" ca="1" si="1"/>
        <v>#REF!</v>
      </c>
      <c r="D54" s="102" t="e">
        <f t="shared" ca="1" si="2"/>
        <v>#REF!</v>
      </c>
      <c r="E54" s="102" t="e">
        <f t="shared" ca="1" si="3"/>
        <v>#REF!</v>
      </c>
      <c r="F54" s="102" t="e">
        <f t="shared" ca="1" si="4"/>
        <v>#REF!</v>
      </c>
      <c r="G54" s="103">
        <f t="shared" ca="1" si="5"/>
        <v>0.44219411406756221</v>
      </c>
      <c r="H54" s="103">
        <f t="shared" ca="1" si="6"/>
        <v>0.21593922876358954</v>
      </c>
      <c r="I54" s="103" t="e">
        <f t="shared" ca="1" si="10"/>
        <v>#REF!</v>
      </c>
      <c r="J54" s="103" t="e">
        <f t="shared" ca="1" si="7"/>
        <v>#REF!</v>
      </c>
      <c r="K54" s="103" t="e">
        <f t="shared" ca="1" si="11"/>
        <v>#REF!</v>
      </c>
      <c r="L54" s="103" t="e">
        <f t="shared" ca="1" si="8"/>
        <v>#REF!</v>
      </c>
      <c r="M54" s="103" t="e">
        <f t="shared" ca="1" si="9"/>
        <v>#REF!</v>
      </c>
      <c r="N54" s="104" t="e">
        <f t="shared" ca="1" si="12"/>
        <v>#REF!</v>
      </c>
    </row>
    <row r="55" spans="1:14">
      <c r="A55" s="95">
        <v>17</v>
      </c>
      <c r="B55" s="102" t="e">
        <f t="shared" ca="1" si="0"/>
        <v>#REF!</v>
      </c>
      <c r="C55" s="102" t="e">
        <f t="shared" ca="1" si="1"/>
        <v>#REF!</v>
      </c>
      <c r="D55" s="102" t="e">
        <f t="shared" ca="1" si="2"/>
        <v>#REF!</v>
      </c>
      <c r="E55" s="102" t="e">
        <f t="shared" ca="1" si="3"/>
        <v>#REF!</v>
      </c>
      <c r="F55" s="102" t="e">
        <f t="shared" ca="1" si="4"/>
        <v>#REF!</v>
      </c>
      <c r="G55" s="103">
        <f t="shared" ca="1" si="5"/>
        <v>0.43003317023718435</v>
      </c>
      <c r="H55" s="103">
        <f t="shared" ca="1" si="6"/>
        <v>0.19753309539727085</v>
      </c>
      <c r="I55" s="103" t="e">
        <f t="shared" ca="1" si="10"/>
        <v>#REF!</v>
      </c>
      <c r="J55" s="103" t="e">
        <f t="shared" ca="1" si="7"/>
        <v>#REF!</v>
      </c>
      <c r="K55" s="103" t="e">
        <f t="shared" ca="1" si="11"/>
        <v>#REF!</v>
      </c>
      <c r="L55" s="103" t="e">
        <f t="shared" ca="1" si="8"/>
        <v>#REF!</v>
      </c>
      <c r="M55" s="103" t="e">
        <f t="shared" ca="1" si="9"/>
        <v>#REF!</v>
      </c>
      <c r="N55" s="104" t="e">
        <f t="shared" ca="1" si="12"/>
        <v>#REF!</v>
      </c>
    </row>
    <row r="56" spans="1:14">
      <c r="A56" s="96">
        <v>18</v>
      </c>
      <c r="B56" s="102" t="e">
        <f t="shared" ca="1" si="0"/>
        <v>#REF!</v>
      </c>
      <c r="C56" s="102" t="e">
        <f t="shared" ca="1" si="1"/>
        <v>#REF!</v>
      </c>
      <c r="D56" s="102" t="e">
        <f t="shared" ca="1" si="2"/>
        <v>#REF!</v>
      </c>
      <c r="E56" s="102" t="e">
        <f t="shared" ca="1" si="3"/>
        <v>#REF!</v>
      </c>
      <c r="F56" s="102" t="e">
        <f t="shared" ca="1" si="4"/>
        <v>#REF!</v>
      </c>
      <c r="G56" s="103">
        <f t="shared" ca="1" si="5"/>
        <v>0.41725346939087243</v>
      </c>
      <c r="H56" s="103">
        <f t="shared" ca="1" si="6"/>
        <v>0.19638099924027025</v>
      </c>
      <c r="I56" s="103" t="e">
        <f t="shared" ca="1" si="10"/>
        <v>#REF!</v>
      </c>
      <c r="J56" s="103" t="e">
        <f t="shared" ca="1" si="7"/>
        <v>#REF!</v>
      </c>
      <c r="K56" s="103" t="e">
        <f t="shared" ca="1" si="11"/>
        <v>#REF!</v>
      </c>
      <c r="L56" s="103" t="e">
        <f t="shared" ca="1" si="8"/>
        <v>#REF!</v>
      </c>
      <c r="M56" s="103" t="e">
        <f t="shared" ca="1" si="9"/>
        <v>#REF!</v>
      </c>
      <c r="N56" s="104" t="e">
        <f t="shared" ca="1" si="12"/>
        <v>#REF!</v>
      </c>
    </row>
    <row r="57" spans="1:14">
      <c r="A57" s="95">
        <v>19</v>
      </c>
      <c r="B57" s="102" t="e">
        <f t="shared" ca="1" si="0"/>
        <v>#REF!</v>
      </c>
      <c r="C57" s="102" t="e">
        <f t="shared" ca="1" si="1"/>
        <v>#REF!</v>
      </c>
      <c r="D57" s="102" t="e">
        <f t="shared" ca="1" si="2"/>
        <v>#REF!</v>
      </c>
      <c r="E57" s="102" t="e">
        <f t="shared" ca="1" si="3"/>
        <v>#REF!</v>
      </c>
      <c r="F57" s="102" t="e">
        <f t="shared" ca="1" si="4"/>
        <v>#REF!</v>
      </c>
      <c r="G57" s="103">
        <f t="shared" ca="1" si="5"/>
        <v>0.45608128321375097</v>
      </c>
      <c r="H57" s="103">
        <f t="shared" ca="1" si="6"/>
        <v>0.21378401123898633</v>
      </c>
      <c r="I57" s="103" t="e">
        <f t="shared" ca="1" si="10"/>
        <v>#REF!</v>
      </c>
      <c r="J57" s="103" t="e">
        <f t="shared" ca="1" si="7"/>
        <v>#REF!</v>
      </c>
      <c r="K57" s="103" t="e">
        <f t="shared" ca="1" si="11"/>
        <v>#REF!</v>
      </c>
      <c r="L57" s="103" t="e">
        <f t="shared" ca="1" si="8"/>
        <v>#REF!</v>
      </c>
      <c r="M57" s="103" t="e">
        <f t="shared" ca="1" si="9"/>
        <v>#REF!</v>
      </c>
      <c r="N57" s="104" t="e">
        <f t="shared" ca="1" si="12"/>
        <v>#REF!</v>
      </c>
    </row>
    <row r="58" spans="1:14">
      <c r="A58" s="96">
        <v>20</v>
      </c>
      <c r="B58" s="102" t="e">
        <f t="shared" ca="1" si="0"/>
        <v>#REF!</v>
      </c>
      <c r="C58" s="102" t="e">
        <f t="shared" ca="1" si="1"/>
        <v>#REF!</v>
      </c>
      <c r="D58" s="102" t="e">
        <f t="shared" ca="1" si="2"/>
        <v>#REF!</v>
      </c>
      <c r="E58" s="102" t="e">
        <f t="shared" ca="1" si="3"/>
        <v>#REF!</v>
      </c>
      <c r="F58" s="102" t="e">
        <f t="shared" ca="1" si="4"/>
        <v>#REF!</v>
      </c>
      <c r="G58" s="103">
        <f t="shared" ca="1" si="5"/>
        <v>0.46658873441523463</v>
      </c>
      <c r="H58" s="103">
        <f t="shared" ca="1" si="6"/>
        <v>0.23014734545834692</v>
      </c>
      <c r="I58" s="103" t="e">
        <f t="shared" ca="1" si="10"/>
        <v>#REF!</v>
      </c>
      <c r="J58" s="103" t="e">
        <f t="shared" ca="1" si="7"/>
        <v>#REF!</v>
      </c>
      <c r="K58" s="103" t="e">
        <f t="shared" ca="1" si="11"/>
        <v>#REF!</v>
      </c>
      <c r="L58" s="103" t="e">
        <f t="shared" ca="1" si="8"/>
        <v>#REF!</v>
      </c>
      <c r="M58" s="103" t="e">
        <f t="shared" ca="1" si="9"/>
        <v>#REF!</v>
      </c>
      <c r="N58" s="104" t="e">
        <f t="shared" ca="1" si="12"/>
        <v>#REF!</v>
      </c>
    </row>
    <row r="59" spans="1:14">
      <c r="A59" s="95">
        <v>21</v>
      </c>
      <c r="B59" s="102" t="e">
        <f t="shared" ca="1" si="0"/>
        <v>#REF!</v>
      </c>
      <c r="C59" s="102" t="e">
        <f t="shared" ca="1" si="1"/>
        <v>#REF!</v>
      </c>
      <c r="D59" s="102" t="e">
        <f t="shared" ca="1" si="2"/>
        <v>#REF!</v>
      </c>
      <c r="E59" s="102" t="e">
        <f t="shared" ca="1" si="3"/>
        <v>#REF!</v>
      </c>
      <c r="F59" s="102" t="e">
        <f t="shared" ca="1" si="4"/>
        <v>#REF!</v>
      </c>
      <c r="G59" s="103">
        <f t="shared" ca="1" si="5"/>
        <v>0.45195260393797959</v>
      </c>
      <c r="H59" s="103">
        <f t="shared" ca="1" si="6"/>
        <v>0.19176277229372446</v>
      </c>
      <c r="I59" s="103" t="e">
        <f t="shared" ca="1" si="10"/>
        <v>#REF!</v>
      </c>
      <c r="J59" s="103" t="e">
        <f t="shared" ca="1" si="7"/>
        <v>#REF!</v>
      </c>
      <c r="K59" s="103" t="e">
        <f t="shared" ca="1" si="11"/>
        <v>#REF!</v>
      </c>
      <c r="L59" s="103" t="e">
        <f t="shared" ca="1" si="8"/>
        <v>#REF!</v>
      </c>
      <c r="M59" s="103" t="e">
        <f t="shared" ca="1" si="9"/>
        <v>#REF!</v>
      </c>
      <c r="N59" s="104" t="e">
        <f t="shared" ca="1" si="12"/>
        <v>#REF!</v>
      </c>
    </row>
    <row r="60" spans="1:14">
      <c r="A60" s="96">
        <v>22</v>
      </c>
      <c r="B60" s="102" t="e">
        <f t="shared" ca="1" si="0"/>
        <v>#REF!</v>
      </c>
      <c r="C60" s="102" t="e">
        <f t="shared" ca="1" si="1"/>
        <v>#REF!</v>
      </c>
      <c r="D60" s="102" t="e">
        <f t="shared" ca="1" si="2"/>
        <v>#REF!</v>
      </c>
      <c r="E60" s="102" t="e">
        <f t="shared" ca="1" si="3"/>
        <v>#REF!</v>
      </c>
      <c r="F60" s="102" t="e">
        <f t="shared" ca="1" si="4"/>
        <v>#REF!</v>
      </c>
      <c r="G60" s="103">
        <f t="shared" ca="1" si="5"/>
        <v>0.44891170678404513</v>
      </c>
      <c r="H60" s="103">
        <f t="shared" ca="1" si="6"/>
        <v>0.20693744042116904</v>
      </c>
      <c r="I60" s="103" t="e">
        <f t="shared" ca="1" si="10"/>
        <v>#REF!</v>
      </c>
      <c r="J60" s="103" t="e">
        <f t="shared" ca="1" si="7"/>
        <v>#REF!</v>
      </c>
      <c r="K60" s="103" t="e">
        <f t="shared" ca="1" si="11"/>
        <v>#REF!</v>
      </c>
      <c r="L60" s="103" t="e">
        <f t="shared" ca="1" si="8"/>
        <v>#REF!</v>
      </c>
      <c r="M60" s="103" t="e">
        <f t="shared" ca="1" si="9"/>
        <v>#REF!</v>
      </c>
      <c r="N60" s="104" t="e">
        <f t="shared" ca="1" si="12"/>
        <v>#REF!</v>
      </c>
    </row>
    <row r="61" spans="1:14">
      <c r="A61" s="95">
        <v>23</v>
      </c>
      <c r="B61" s="102" t="e">
        <f t="shared" ca="1" si="0"/>
        <v>#REF!</v>
      </c>
      <c r="C61" s="102" t="e">
        <f t="shared" ca="1" si="1"/>
        <v>#REF!</v>
      </c>
      <c r="D61" s="102" t="e">
        <f t="shared" ca="1" si="2"/>
        <v>#REF!</v>
      </c>
      <c r="E61" s="102" t="e">
        <f t="shared" ca="1" si="3"/>
        <v>#REF!</v>
      </c>
      <c r="F61" s="102" t="e">
        <f t="shared" ca="1" si="4"/>
        <v>#REF!</v>
      </c>
      <c r="G61" s="103">
        <f t="shared" ca="1" si="5"/>
        <v>0.43223775615115545</v>
      </c>
      <c r="H61" s="103">
        <f t="shared" ca="1" si="6"/>
        <v>0.20338025637804535</v>
      </c>
      <c r="I61" s="103" t="e">
        <f t="shared" ca="1" si="10"/>
        <v>#REF!</v>
      </c>
      <c r="J61" s="103" t="e">
        <f t="shared" ca="1" si="7"/>
        <v>#REF!</v>
      </c>
      <c r="K61" s="103" t="e">
        <f t="shared" ca="1" si="11"/>
        <v>#REF!</v>
      </c>
      <c r="L61" s="103" t="e">
        <f t="shared" ca="1" si="8"/>
        <v>#REF!</v>
      </c>
      <c r="M61" s="103" t="e">
        <f t="shared" ca="1" si="9"/>
        <v>#REF!</v>
      </c>
      <c r="N61" s="104" t="e">
        <f t="shared" ca="1" si="12"/>
        <v>#REF!</v>
      </c>
    </row>
    <row r="62" spans="1:14">
      <c r="A62" s="96">
        <v>24</v>
      </c>
      <c r="B62" s="102" t="e">
        <f t="shared" ca="1" si="0"/>
        <v>#REF!</v>
      </c>
      <c r="C62" s="102" t="e">
        <f t="shared" ca="1" si="1"/>
        <v>#REF!</v>
      </c>
      <c r="D62" s="102" t="e">
        <f t="shared" ca="1" si="2"/>
        <v>#REF!</v>
      </c>
      <c r="E62" s="102" t="e">
        <f t="shared" ca="1" si="3"/>
        <v>#REF!</v>
      </c>
      <c r="F62" s="102" t="e">
        <f t="shared" ca="1" si="4"/>
        <v>#REF!</v>
      </c>
      <c r="G62" s="103">
        <f t="shared" ca="1" si="5"/>
        <v>0.43033409325537891</v>
      </c>
      <c r="H62" s="103">
        <f t="shared" ca="1" si="6"/>
        <v>0.19410205084040322</v>
      </c>
      <c r="I62" s="103" t="e">
        <f t="shared" ca="1" si="10"/>
        <v>#REF!</v>
      </c>
      <c r="J62" s="103" t="e">
        <f t="shared" ca="1" si="7"/>
        <v>#REF!</v>
      </c>
      <c r="K62" s="103" t="e">
        <f t="shared" ca="1" si="11"/>
        <v>#REF!</v>
      </c>
      <c r="L62" s="103" t="e">
        <f t="shared" ca="1" si="8"/>
        <v>#REF!</v>
      </c>
      <c r="M62" s="103" t="e">
        <f t="shared" ca="1" si="9"/>
        <v>#REF!</v>
      </c>
      <c r="N62" s="104" t="e">
        <f t="shared" ca="1" si="12"/>
        <v>#REF!</v>
      </c>
    </row>
    <row r="63" spans="1:14">
      <c r="A63" s="95">
        <v>25</v>
      </c>
      <c r="B63" s="102" t="e">
        <f t="shared" ca="1" si="0"/>
        <v>#REF!</v>
      </c>
      <c r="C63" s="102" t="e">
        <f t="shared" ca="1" si="1"/>
        <v>#REF!</v>
      </c>
      <c r="D63" s="102" t="e">
        <f t="shared" ca="1" si="2"/>
        <v>#REF!</v>
      </c>
      <c r="E63" s="102" t="e">
        <f t="shared" ca="1" si="3"/>
        <v>#REF!</v>
      </c>
      <c r="F63" s="102" t="e">
        <f t="shared" ca="1" si="4"/>
        <v>#REF!</v>
      </c>
      <c r="G63" s="103">
        <f t="shared" ca="1" si="5"/>
        <v>0.43672523228275584</v>
      </c>
      <c r="H63" s="103">
        <f t="shared" ca="1" si="6"/>
        <v>0.21548941484551792</v>
      </c>
      <c r="I63" s="103" t="e">
        <f t="shared" ca="1" si="10"/>
        <v>#REF!</v>
      </c>
      <c r="J63" s="103" t="e">
        <f t="shared" ca="1" si="7"/>
        <v>#REF!</v>
      </c>
      <c r="K63" s="103" t="e">
        <f t="shared" ca="1" si="11"/>
        <v>#REF!</v>
      </c>
      <c r="L63" s="103" t="e">
        <f t="shared" ca="1" si="8"/>
        <v>#REF!</v>
      </c>
      <c r="M63" s="103" t="e">
        <f t="shared" ca="1" si="9"/>
        <v>#REF!</v>
      </c>
      <c r="N63" s="104" t="e">
        <f t="shared" ca="1" si="12"/>
        <v>#REF!</v>
      </c>
    </row>
    <row r="64" spans="1:14">
      <c r="A64" s="96">
        <v>26</v>
      </c>
      <c r="B64" s="102" t="e">
        <f t="shared" ca="1" si="0"/>
        <v>#REF!</v>
      </c>
      <c r="C64" s="102" t="e">
        <f t="shared" ca="1" si="1"/>
        <v>#REF!</v>
      </c>
      <c r="D64" s="102" t="e">
        <f t="shared" ca="1" si="2"/>
        <v>#REF!</v>
      </c>
      <c r="E64" s="102" t="e">
        <f t="shared" ca="1" si="3"/>
        <v>#REF!</v>
      </c>
      <c r="F64" s="102" t="e">
        <f t="shared" ca="1" si="4"/>
        <v>#REF!</v>
      </c>
      <c r="G64" s="103">
        <f t="shared" ca="1" si="5"/>
        <v>0.41620466636320247</v>
      </c>
      <c r="H64" s="103">
        <f t="shared" ca="1" si="6"/>
        <v>0.18440223645796744</v>
      </c>
      <c r="I64" s="103" t="e">
        <f t="shared" ca="1" si="10"/>
        <v>#REF!</v>
      </c>
      <c r="J64" s="103" t="e">
        <f t="shared" ca="1" si="7"/>
        <v>#REF!</v>
      </c>
      <c r="K64" s="103" t="e">
        <f t="shared" ca="1" si="11"/>
        <v>#REF!</v>
      </c>
      <c r="L64" s="103" t="e">
        <f t="shared" ca="1" si="8"/>
        <v>#REF!</v>
      </c>
      <c r="M64" s="103" t="e">
        <f t="shared" ca="1" si="9"/>
        <v>#REF!</v>
      </c>
      <c r="N64" s="104" t="e">
        <f t="shared" ca="1" si="12"/>
        <v>#REF!</v>
      </c>
    </row>
    <row r="65" spans="1:14">
      <c r="A65" s="95">
        <v>27</v>
      </c>
      <c r="B65" s="102" t="e">
        <f t="shared" ca="1" si="0"/>
        <v>#REF!</v>
      </c>
      <c r="C65" s="102" t="e">
        <f t="shared" ca="1" si="1"/>
        <v>#REF!</v>
      </c>
      <c r="D65" s="102" t="e">
        <f t="shared" ca="1" si="2"/>
        <v>#REF!</v>
      </c>
      <c r="E65" s="102" t="e">
        <f t="shared" ca="1" si="3"/>
        <v>#REF!</v>
      </c>
      <c r="F65" s="102" t="e">
        <f t="shared" ca="1" si="4"/>
        <v>#REF!</v>
      </c>
      <c r="G65" s="103">
        <f t="shared" ca="1" si="5"/>
        <v>0.42199704422300899</v>
      </c>
      <c r="H65" s="103">
        <f t="shared" ca="1" si="6"/>
        <v>0.24649815997563018</v>
      </c>
      <c r="I65" s="103" t="e">
        <f t="shared" ca="1" si="10"/>
        <v>#REF!</v>
      </c>
      <c r="J65" s="103" t="e">
        <f t="shared" ca="1" si="7"/>
        <v>#REF!</v>
      </c>
      <c r="K65" s="103" t="e">
        <f t="shared" ca="1" si="11"/>
        <v>#REF!</v>
      </c>
      <c r="L65" s="103" t="e">
        <f t="shared" ca="1" si="8"/>
        <v>#REF!</v>
      </c>
      <c r="M65" s="103" t="e">
        <f t="shared" ca="1" si="9"/>
        <v>#REF!</v>
      </c>
      <c r="N65" s="104" t="e">
        <f t="shared" ca="1" si="12"/>
        <v>#REF!</v>
      </c>
    </row>
    <row r="66" spans="1:14">
      <c r="A66" s="96">
        <v>28</v>
      </c>
      <c r="B66" s="102" t="e">
        <f t="shared" ca="1" si="0"/>
        <v>#REF!</v>
      </c>
      <c r="C66" s="102" t="e">
        <f t="shared" ca="1" si="1"/>
        <v>#REF!</v>
      </c>
      <c r="D66" s="102" t="e">
        <f t="shared" ca="1" si="2"/>
        <v>#REF!</v>
      </c>
      <c r="E66" s="102" t="e">
        <f t="shared" ca="1" si="3"/>
        <v>#REF!</v>
      </c>
      <c r="F66" s="102" t="e">
        <f t="shared" ca="1" si="4"/>
        <v>#REF!</v>
      </c>
      <c r="G66" s="103">
        <f t="shared" ca="1" si="5"/>
        <v>0.41635985381870311</v>
      </c>
      <c r="H66" s="103">
        <f t="shared" ca="1" si="6"/>
        <v>0.21964306894011859</v>
      </c>
      <c r="I66" s="103" t="e">
        <f t="shared" ca="1" si="10"/>
        <v>#REF!</v>
      </c>
      <c r="J66" s="103" t="e">
        <f t="shared" ca="1" si="7"/>
        <v>#REF!</v>
      </c>
      <c r="K66" s="103" t="e">
        <f t="shared" ca="1" si="11"/>
        <v>#REF!</v>
      </c>
      <c r="L66" s="103" t="e">
        <f t="shared" ca="1" si="8"/>
        <v>#REF!</v>
      </c>
      <c r="M66" s="103" t="e">
        <f t="shared" ca="1" si="9"/>
        <v>#REF!</v>
      </c>
      <c r="N66" s="104" t="e">
        <f t="shared" ca="1" si="12"/>
        <v>#REF!</v>
      </c>
    </row>
    <row r="67" spans="1:14">
      <c r="A67" s="95">
        <v>29</v>
      </c>
      <c r="B67" s="102" t="e">
        <f t="shared" ca="1" si="0"/>
        <v>#REF!</v>
      </c>
      <c r="C67" s="102" t="e">
        <f t="shared" ca="1" si="1"/>
        <v>#REF!</v>
      </c>
      <c r="D67" s="102" t="e">
        <f t="shared" ca="1" si="2"/>
        <v>#REF!</v>
      </c>
      <c r="E67" s="102" t="e">
        <f t="shared" ca="1" si="3"/>
        <v>#REF!</v>
      </c>
      <c r="F67" s="102" t="e">
        <f t="shared" ca="1" si="4"/>
        <v>#REF!</v>
      </c>
      <c r="G67" s="103">
        <f t="shared" ca="1" si="5"/>
        <v>0.39727056228957236</v>
      </c>
      <c r="H67" s="103">
        <f t="shared" ca="1" si="6"/>
        <v>0.17502686176085863</v>
      </c>
      <c r="I67" s="103" t="e">
        <f t="shared" ca="1" si="10"/>
        <v>#REF!</v>
      </c>
      <c r="J67" s="103" t="e">
        <f t="shared" ca="1" si="7"/>
        <v>#REF!</v>
      </c>
      <c r="K67" s="103" t="e">
        <f t="shared" ca="1" si="11"/>
        <v>#REF!</v>
      </c>
      <c r="L67" s="103" t="e">
        <f t="shared" ca="1" si="8"/>
        <v>#REF!</v>
      </c>
      <c r="M67" s="103" t="e">
        <f t="shared" ca="1" si="9"/>
        <v>#REF!</v>
      </c>
      <c r="N67" s="104" t="e">
        <f t="shared" ca="1" si="12"/>
        <v>#REF!</v>
      </c>
    </row>
    <row r="68" spans="1:14">
      <c r="A68" s="96">
        <v>30</v>
      </c>
      <c r="B68" s="102" t="e">
        <f t="shared" ca="1" si="0"/>
        <v>#REF!</v>
      </c>
      <c r="C68" s="102" t="e">
        <f t="shared" ca="1" si="1"/>
        <v>#REF!</v>
      </c>
      <c r="D68" s="102" t="e">
        <f t="shared" ca="1" si="2"/>
        <v>#REF!</v>
      </c>
      <c r="E68" s="102" t="e">
        <f t="shared" ca="1" si="3"/>
        <v>#REF!</v>
      </c>
      <c r="F68" s="102" t="e">
        <f t="shared" ca="1" si="4"/>
        <v>#REF!</v>
      </c>
      <c r="G68" s="103">
        <f t="shared" ca="1" si="5"/>
        <v>0.42965811808867349</v>
      </c>
      <c r="H68" s="103">
        <f t="shared" ca="1" si="6"/>
        <v>0.18296526081863662</v>
      </c>
      <c r="I68" s="103" t="e">
        <f t="shared" ca="1" si="10"/>
        <v>#REF!</v>
      </c>
      <c r="J68" s="103" t="e">
        <f t="shared" ca="1" si="7"/>
        <v>#REF!</v>
      </c>
      <c r="K68" s="103" t="e">
        <f t="shared" ca="1" si="11"/>
        <v>#REF!</v>
      </c>
      <c r="L68" s="103" t="e">
        <f t="shared" ca="1" si="8"/>
        <v>#REF!</v>
      </c>
      <c r="M68" s="103" t="e">
        <f t="shared" ca="1" si="9"/>
        <v>#REF!</v>
      </c>
      <c r="N68" s="104" t="e">
        <f t="shared" ca="1" si="12"/>
        <v>#REF!</v>
      </c>
    </row>
    <row r="69" spans="1:14">
      <c r="A69" s="95">
        <v>31</v>
      </c>
      <c r="B69" s="102" t="e">
        <f t="shared" ca="1" si="0"/>
        <v>#REF!</v>
      </c>
      <c r="C69" s="102" t="e">
        <f t="shared" ca="1" si="1"/>
        <v>#REF!</v>
      </c>
      <c r="D69" s="102" t="e">
        <f t="shared" ca="1" si="2"/>
        <v>#REF!</v>
      </c>
      <c r="E69" s="102" t="e">
        <f t="shared" ca="1" si="3"/>
        <v>#REF!</v>
      </c>
      <c r="F69" s="102" t="e">
        <f t="shared" ca="1" si="4"/>
        <v>#REF!</v>
      </c>
      <c r="G69" s="103">
        <f t="shared" ca="1" si="5"/>
        <v>0.43126016086710178</v>
      </c>
      <c r="H69" s="103">
        <f t="shared" ca="1" si="6"/>
        <v>0.21236952143164756</v>
      </c>
      <c r="I69" s="103" t="e">
        <f t="shared" ca="1" si="10"/>
        <v>#REF!</v>
      </c>
      <c r="J69" s="103" t="e">
        <f t="shared" ca="1" si="7"/>
        <v>#REF!</v>
      </c>
      <c r="K69" s="103" t="e">
        <f t="shared" ca="1" si="11"/>
        <v>#REF!</v>
      </c>
      <c r="L69" s="103" t="e">
        <f t="shared" ca="1" si="8"/>
        <v>#REF!</v>
      </c>
      <c r="M69" s="103" t="e">
        <f t="shared" ca="1" si="9"/>
        <v>#REF!</v>
      </c>
      <c r="N69" s="104" t="e">
        <f t="shared" ca="1" si="12"/>
        <v>#REF!</v>
      </c>
    </row>
    <row r="70" spans="1:14">
      <c r="A70" s="96">
        <v>32</v>
      </c>
      <c r="B70" s="102" t="e">
        <f t="shared" ca="1" si="0"/>
        <v>#REF!</v>
      </c>
      <c r="C70" s="102" t="e">
        <f t="shared" ca="1" si="1"/>
        <v>#REF!</v>
      </c>
      <c r="D70" s="102" t="e">
        <f t="shared" ca="1" si="2"/>
        <v>#REF!</v>
      </c>
      <c r="E70" s="102" t="e">
        <f t="shared" ca="1" si="3"/>
        <v>#REF!</v>
      </c>
      <c r="F70" s="102" t="e">
        <f t="shared" ca="1" si="4"/>
        <v>#REF!</v>
      </c>
      <c r="G70" s="103">
        <f t="shared" ca="1" si="5"/>
        <v>0.46211898017048098</v>
      </c>
      <c r="H70" s="103">
        <f t="shared" ca="1" si="6"/>
        <v>0.19808091754188037</v>
      </c>
      <c r="I70" s="103" t="e">
        <f t="shared" ca="1" si="10"/>
        <v>#REF!</v>
      </c>
      <c r="J70" s="103" t="e">
        <f t="shared" ca="1" si="7"/>
        <v>#REF!</v>
      </c>
      <c r="K70" s="103" t="e">
        <f t="shared" ca="1" si="11"/>
        <v>#REF!</v>
      </c>
      <c r="L70" s="103" t="e">
        <f t="shared" ca="1" si="8"/>
        <v>#REF!</v>
      </c>
      <c r="M70" s="103" t="e">
        <f t="shared" ca="1" si="9"/>
        <v>#REF!</v>
      </c>
      <c r="N70" s="104" t="e">
        <f t="shared" ca="1" si="12"/>
        <v>#REF!</v>
      </c>
    </row>
    <row r="71" spans="1:14">
      <c r="A71" s="95">
        <v>33</v>
      </c>
      <c r="B71" s="102" t="e">
        <f t="shared" ca="1" si="0"/>
        <v>#REF!</v>
      </c>
      <c r="C71" s="102" t="e">
        <f t="shared" ca="1" si="1"/>
        <v>#REF!</v>
      </c>
      <c r="D71" s="102" t="e">
        <f t="shared" ca="1" si="2"/>
        <v>#REF!</v>
      </c>
      <c r="E71" s="102" t="e">
        <f t="shared" ca="1" si="3"/>
        <v>#REF!</v>
      </c>
      <c r="F71" s="102" t="e">
        <f t="shared" ca="1" si="4"/>
        <v>#REF!</v>
      </c>
      <c r="G71" s="103">
        <f t="shared" ca="1" si="5"/>
        <v>0.43502870593821391</v>
      </c>
      <c r="H71" s="103">
        <f t="shared" ca="1" si="6"/>
        <v>0.20754754007549103</v>
      </c>
      <c r="I71" s="103" t="e">
        <f t="shared" ca="1" si="10"/>
        <v>#REF!</v>
      </c>
      <c r="J71" s="103" t="e">
        <f t="shared" ca="1" si="7"/>
        <v>#REF!</v>
      </c>
      <c r="K71" s="103" t="e">
        <f t="shared" ca="1" si="11"/>
        <v>#REF!</v>
      </c>
      <c r="L71" s="103" t="e">
        <f t="shared" ca="1" si="8"/>
        <v>#REF!</v>
      </c>
      <c r="M71" s="103" t="e">
        <f t="shared" ca="1" si="9"/>
        <v>#REF!</v>
      </c>
      <c r="N71" s="104" t="e">
        <f t="shared" ca="1" si="12"/>
        <v>#REF!</v>
      </c>
    </row>
    <row r="72" spans="1:14">
      <c r="A72" s="96">
        <v>34</v>
      </c>
      <c r="B72" s="102" t="e">
        <f t="shared" ca="1" si="0"/>
        <v>#REF!</v>
      </c>
      <c r="C72" s="102" t="e">
        <f t="shared" ca="1" si="1"/>
        <v>#REF!</v>
      </c>
      <c r="D72" s="102" t="e">
        <f t="shared" ca="1" si="2"/>
        <v>#REF!</v>
      </c>
      <c r="E72" s="102" t="e">
        <f t="shared" ca="1" si="3"/>
        <v>#REF!</v>
      </c>
      <c r="F72" s="102" t="e">
        <f t="shared" ca="1" si="4"/>
        <v>#REF!</v>
      </c>
      <c r="G72" s="103">
        <f t="shared" ca="1" si="5"/>
        <v>0.44033671484732406</v>
      </c>
      <c r="H72" s="103">
        <f t="shared" ca="1" si="6"/>
        <v>0.19067665186785507</v>
      </c>
      <c r="I72" s="103" t="e">
        <f t="shared" ca="1" si="10"/>
        <v>#REF!</v>
      </c>
      <c r="J72" s="103" t="e">
        <f t="shared" ca="1" si="7"/>
        <v>#REF!</v>
      </c>
      <c r="K72" s="103" t="e">
        <f t="shared" ca="1" si="11"/>
        <v>#REF!</v>
      </c>
      <c r="L72" s="103" t="e">
        <f t="shared" ca="1" si="8"/>
        <v>#REF!</v>
      </c>
      <c r="M72" s="103" t="e">
        <f t="shared" ca="1" si="9"/>
        <v>#REF!</v>
      </c>
      <c r="N72" s="104" t="e">
        <f t="shared" ca="1" si="12"/>
        <v>#REF!</v>
      </c>
    </row>
    <row r="73" spans="1:14">
      <c r="A73" s="95">
        <v>35</v>
      </c>
      <c r="B73" s="102" t="e">
        <f t="shared" ca="1" si="0"/>
        <v>#REF!</v>
      </c>
      <c r="C73" s="102" t="e">
        <f t="shared" ca="1" si="1"/>
        <v>#REF!</v>
      </c>
      <c r="D73" s="102" t="e">
        <f t="shared" ca="1" si="2"/>
        <v>#REF!</v>
      </c>
      <c r="E73" s="102" t="e">
        <f t="shared" ca="1" si="3"/>
        <v>#REF!</v>
      </c>
      <c r="F73" s="102" t="e">
        <f t="shared" ca="1" si="4"/>
        <v>#REF!</v>
      </c>
      <c r="G73" s="103">
        <f t="shared" ca="1" si="5"/>
        <v>0.41773515119091204</v>
      </c>
      <c r="H73" s="103">
        <f t="shared" ca="1" si="6"/>
        <v>0.18665071458368887</v>
      </c>
      <c r="I73" s="103" t="e">
        <f t="shared" ca="1" si="10"/>
        <v>#REF!</v>
      </c>
      <c r="J73" s="103" t="e">
        <f t="shared" ca="1" si="7"/>
        <v>#REF!</v>
      </c>
      <c r="K73" s="103" t="e">
        <f t="shared" ca="1" si="11"/>
        <v>#REF!</v>
      </c>
      <c r="L73" s="103" t="e">
        <f t="shared" ca="1" si="8"/>
        <v>#REF!</v>
      </c>
      <c r="M73" s="103" t="e">
        <f t="shared" ca="1" si="9"/>
        <v>#REF!</v>
      </c>
      <c r="N73" s="104" t="e">
        <f t="shared" ca="1" si="12"/>
        <v>#REF!</v>
      </c>
    </row>
    <row r="74" spans="1:14">
      <c r="A74" s="96">
        <v>36</v>
      </c>
      <c r="B74" s="102" t="e">
        <f t="shared" ca="1" si="0"/>
        <v>#REF!</v>
      </c>
      <c r="C74" s="102" t="e">
        <f t="shared" ca="1" si="1"/>
        <v>#REF!</v>
      </c>
      <c r="D74" s="102" t="e">
        <f t="shared" ca="1" si="2"/>
        <v>#REF!</v>
      </c>
      <c r="E74" s="102" t="e">
        <f t="shared" ca="1" si="3"/>
        <v>#REF!</v>
      </c>
      <c r="F74" s="102" t="e">
        <f t="shared" ca="1" si="4"/>
        <v>#REF!</v>
      </c>
      <c r="G74" s="103">
        <f t="shared" ca="1" si="5"/>
        <v>0.42273702027797438</v>
      </c>
      <c r="H74" s="103">
        <f t="shared" ca="1" si="6"/>
        <v>0.19983594024679852</v>
      </c>
      <c r="I74" s="103" t="e">
        <f t="shared" ca="1" si="10"/>
        <v>#REF!</v>
      </c>
      <c r="J74" s="103" t="e">
        <f t="shared" ca="1" si="7"/>
        <v>#REF!</v>
      </c>
      <c r="K74" s="103" t="e">
        <f t="shared" ca="1" si="11"/>
        <v>#REF!</v>
      </c>
      <c r="L74" s="103" t="e">
        <f t="shared" ca="1" si="8"/>
        <v>#REF!</v>
      </c>
      <c r="M74" s="103" t="e">
        <f t="shared" ca="1" si="9"/>
        <v>#REF!</v>
      </c>
      <c r="N74" s="104" t="e">
        <f t="shared" ca="1" si="12"/>
        <v>#REF!</v>
      </c>
    </row>
    <row r="75" spans="1:14">
      <c r="A75" s="95">
        <v>37</v>
      </c>
      <c r="B75" s="102" t="e">
        <f t="shared" ca="1" si="0"/>
        <v>#REF!</v>
      </c>
      <c r="C75" s="102" t="e">
        <f t="shared" ca="1" si="1"/>
        <v>#REF!</v>
      </c>
      <c r="D75" s="102" t="e">
        <f t="shared" ca="1" si="2"/>
        <v>#REF!</v>
      </c>
      <c r="E75" s="102" t="e">
        <f t="shared" ca="1" si="3"/>
        <v>#REF!</v>
      </c>
      <c r="F75" s="102" t="e">
        <f t="shared" ca="1" si="4"/>
        <v>#REF!</v>
      </c>
      <c r="G75" s="103">
        <f t="shared" ca="1" si="5"/>
        <v>0.41721618235697921</v>
      </c>
      <c r="H75" s="103">
        <f t="shared" ca="1" si="6"/>
        <v>0.21564437179738188</v>
      </c>
      <c r="I75" s="103" t="e">
        <f t="shared" ca="1" si="10"/>
        <v>#REF!</v>
      </c>
      <c r="J75" s="103" t="e">
        <f t="shared" ca="1" si="7"/>
        <v>#REF!</v>
      </c>
      <c r="K75" s="103" t="e">
        <f t="shared" ca="1" si="11"/>
        <v>#REF!</v>
      </c>
      <c r="L75" s="103" t="e">
        <f t="shared" ca="1" si="8"/>
        <v>#REF!</v>
      </c>
      <c r="M75" s="103" t="e">
        <f t="shared" ca="1" si="9"/>
        <v>#REF!</v>
      </c>
      <c r="N75" s="104" t="e">
        <f t="shared" ca="1" si="12"/>
        <v>#REF!</v>
      </c>
    </row>
    <row r="76" spans="1:14">
      <c r="A76" s="96">
        <v>38</v>
      </c>
      <c r="B76" s="102" t="e">
        <f t="shared" ca="1" si="0"/>
        <v>#REF!</v>
      </c>
      <c r="C76" s="102" t="e">
        <f t="shared" ca="1" si="1"/>
        <v>#REF!</v>
      </c>
      <c r="D76" s="102" t="e">
        <f t="shared" ca="1" si="2"/>
        <v>#REF!</v>
      </c>
      <c r="E76" s="102" t="e">
        <f t="shared" ca="1" si="3"/>
        <v>#REF!</v>
      </c>
      <c r="F76" s="102" t="e">
        <f t="shared" ca="1" si="4"/>
        <v>#REF!</v>
      </c>
      <c r="G76" s="103">
        <f t="shared" ca="1" si="5"/>
        <v>0.42130263300528137</v>
      </c>
      <c r="H76" s="103">
        <f t="shared" ca="1" si="6"/>
        <v>0.20993311400503745</v>
      </c>
      <c r="I76" s="103" t="e">
        <f t="shared" ca="1" si="10"/>
        <v>#REF!</v>
      </c>
      <c r="J76" s="103" t="e">
        <f t="shared" ca="1" si="7"/>
        <v>#REF!</v>
      </c>
      <c r="K76" s="103" t="e">
        <f t="shared" ca="1" si="11"/>
        <v>#REF!</v>
      </c>
      <c r="L76" s="103" t="e">
        <f t="shared" ca="1" si="8"/>
        <v>#REF!</v>
      </c>
      <c r="M76" s="103" t="e">
        <f t="shared" ca="1" si="9"/>
        <v>#REF!</v>
      </c>
      <c r="N76" s="104" t="e">
        <f t="shared" ca="1" si="12"/>
        <v>#REF!</v>
      </c>
    </row>
    <row r="77" spans="1:14">
      <c r="A77" s="95">
        <v>39</v>
      </c>
      <c r="B77" s="102" t="e">
        <f t="shared" ca="1" si="0"/>
        <v>#REF!</v>
      </c>
      <c r="C77" s="102" t="e">
        <f t="shared" ca="1" si="1"/>
        <v>#REF!</v>
      </c>
      <c r="D77" s="102" t="e">
        <f t="shared" ca="1" si="2"/>
        <v>#REF!</v>
      </c>
      <c r="E77" s="102" t="e">
        <f t="shared" ca="1" si="3"/>
        <v>#REF!</v>
      </c>
      <c r="F77" s="102" t="e">
        <f t="shared" ca="1" si="4"/>
        <v>#REF!</v>
      </c>
      <c r="G77" s="103">
        <f t="shared" ca="1" si="5"/>
        <v>0.44085053108148303</v>
      </c>
      <c r="H77" s="103">
        <f t="shared" ca="1" si="6"/>
        <v>0.21546899577327594</v>
      </c>
      <c r="I77" s="103" t="e">
        <f t="shared" ca="1" si="10"/>
        <v>#REF!</v>
      </c>
      <c r="J77" s="103" t="e">
        <f t="shared" ca="1" si="7"/>
        <v>#REF!</v>
      </c>
      <c r="K77" s="103" t="e">
        <f t="shared" ca="1" si="11"/>
        <v>#REF!</v>
      </c>
      <c r="L77" s="103" t="e">
        <f t="shared" ca="1" si="8"/>
        <v>#REF!</v>
      </c>
      <c r="M77" s="103" t="e">
        <f t="shared" ca="1" si="9"/>
        <v>#REF!</v>
      </c>
      <c r="N77" s="104" t="e">
        <f t="shared" ca="1" si="12"/>
        <v>#REF!</v>
      </c>
    </row>
    <row r="78" spans="1:14">
      <c r="A78" s="96">
        <v>40</v>
      </c>
      <c r="B78" s="102" t="e">
        <f t="shared" ca="1" si="0"/>
        <v>#REF!</v>
      </c>
      <c r="C78" s="102" t="e">
        <f t="shared" ca="1" si="1"/>
        <v>#REF!</v>
      </c>
      <c r="D78" s="102" t="e">
        <f t="shared" ca="1" si="2"/>
        <v>#REF!</v>
      </c>
      <c r="E78" s="102" t="e">
        <f t="shared" ca="1" si="3"/>
        <v>#REF!</v>
      </c>
      <c r="F78" s="102" t="e">
        <f t="shared" ca="1" si="4"/>
        <v>#REF!</v>
      </c>
      <c r="G78" s="103">
        <f t="shared" ca="1" si="5"/>
        <v>0.44684579683636311</v>
      </c>
      <c r="H78" s="103">
        <f t="shared" ca="1" si="6"/>
        <v>0.18923563967100268</v>
      </c>
      <c r="I78" s="103" t="e">
        <f t="shared" ca="1" si="10"/>
        <v>#REF!</v>
      </c>
      <c r="J78" s="103" t="e">
        <f t="shared" ca="1" si="7"/>
        <v>#REF!</v>
      </c>
      <c r="K78" s="103" t="e">
        <f t="shared" ca="1" si="11"/>
        <v>#REF!</v>
      </c>
      <c r="L78" s="103" t="e">
        <f t="shared" ca="1" si="8"/>
        <v>#REF!</v>
      </c>
      <c r="M78" s="103" t="e">
        <f t="shared" ca="1" si="9"/>
        <v>#REF!</v>
      </c>
      <c r="N78" s="104" t="e">
        <f t="shared" ca="1" si="12"/>
        <v>#REF!</v>
      </c>
    </row>
    <row r="79" spans="1:14">
      <c r="A79" s="95">
        <v>41</v>
      </c>
      <c r="B79" s="102" t="e">
        <f t="shared" ca="1" si="0"/>
        <v>#REF!</v>
      </c>
      <c r="C79" s="102" t="e">
        <f t="shared" ca="1" si="1"/>
        <v>#REF!</v>
      </c>
      <c r="D79" s="102" t="e">
        <f t="shared" ca="1" si="2"/>
        <v>#REF!</v>
      </c>
      <c r="E79" s="102" t="e">
        <f t="shared" ca="1" si="3"/>
        <v>#REF!</v>
      </c>
      <c r="F79" s="102" t="e">
        <f t="shared" ca="1" si="4"/>
        <v>#REF!</v>
      </c>
      <c r="G79" s="103">
        <f t="shared" ca="1" si="5"/>
        <v>0.48138489030831177</v>
      </c>
      <c r="H79" s="103">
        <f t="shared" ca="1" si="6"/>
        <v>0.16918080737267896</v>
      </c>
      <c r="I79" s="103" t="e">
        <f t="shared" ca="1" si="10"/>
        <v>#REF!</v>
      </c>
      <c r="J79" s="103" t="e">
        <f t="shared" ca="1" si="7"/>
        <v>#REF!</v>
      </c>
      <c r="K79" s="103" t="e">
        <f t="shared" ca="1" si="11"/>
        <v>#REF!</v>
      </c>
      <c r="L79" s="103" t="e">
        <f t="shared" ca="1" si="8"/>
        <v>#REF!</v>
      </c>
      <c r="M79" s="103" t="e">
        <f t="shared" ca="1" si="9"/>
        <v>#REF!</v>
      </c>
      <c r="N79" s="104" t="e">
        <f t="shared" ca="1" si="12"/>
        <v>#REF!</v>
      </c>
    </row>
    <row r="80" spans="1:14">
      <c r="A80" s="96">
        <v>42</v>
      </c>
      <c r="B80" s="102" t="e">
        <f t="shared" ca="1" si="0"/>
        <v>#REF!</v>
      </c>
      <c r="C80" s="102" t="e">
        <f t="shared" ca="1" si="1"/>
        <v>#REF!</v>
      </c>
      <c r="D80" s="102" t="e">
        <f t="shared" ca="1" si="2"/>
        <v>#REF!</v>
      </c>
      <c r="E80" s="102" t="e">
        <f t="shared" ca="1" si="3"/>
        <v>#REF!</v>
      </c>
      <c r="F80" s="102" t="e">
        <f t="shared" ca="1" si="4"/>
        <v>#REF!</v>
      </c>
      <c r="G80" s="103">
        <f t="shared" ca="1" si="5"/>
        <v>0.4164509060273841</v>
      </c>
      <c r="H80" s="103">
        <f t="shared" ca="1" si="6"/>
        <v>0.2050623849941253</v>
      </c>
      <c r="I80" s="103" t="e">
        <f t="shared" ca="1" si="10"/>
        <v>#REF!</v>
      </c>
      <c r="J80" s="103" t="e">
        <f t="shared" ca="1" si="7"/>
        <v>#REF!</v>
      </c>
      <c r="K80" s="103" t="e">
        <f t="shared" ca="1" si="11"/>
        <v>#REF!</v>
      </c>
      <c r="L80" s="103" t="e">
        <f t="shared" ca="1" si="8"/>
        <v>#REF!</v>
      </c>
      <c r="M80" s="103" t="e">
        <f t="shared" ca="1" si="9"/>
        <v>#REF!</v>
      </c>
      <c r="N80" s="104" t="e">
        <f t="shared" ca="1" si="12"/>
        <v>#REF!</v>
      </c>
    </row>
    <row r="81" spans="1:14">
      <c r="A81" s="95">
        <v>43</v>
      </c>
      <c r="B81" s="102" t="e">
        <f t="shared" ca="1" si="0"/>
        <v>#REF!</v>
      </c>
      <c r="C81" s="102" t="e">
        <f t="shared" ca="1" si="1"/>
        <v>#REF!</v>
      </c>
      <c r="D81" s="102" t="e">
        <f t="shared" ca="1" si="2"/>
        <v>#REF!</v>
      </c>
      <c r="E81" s="102" t="e">
        <f t="shared" ca="1" si="3"/>
        <v>#REF!</v>
      </c>
      <c r="F81" s="102" t="e">
        <f t="shared" ca="1" si="4"/>
        <v>#REF!</v>
      </c>
      <c r="G81" s="103">
        <f t="shared" ca="1" si="5"/>
        <v>0.4260301679999654</v>
      </c>
      <c r="H81" s="103">
        <f t="shared" ca="1" si="6"/>
        <v>0.21074030623212181</v>
      </c>
      <c r="I81" s="103" t="e">
        <f t="shared" ca="1" si="10"/>
        <v>#REF!</v>
      </c>
      <c r="J81" s="103" t="e">
        <f t="shared" ca="1" si="7"/>
        <v>#REF!</v>
      </c>
      <c r="K81" s="103" t="e">
        <f t="shared" ca="1" si="11"/>
        <v>#REF!</v>
      </c>
      <c r="L81" s="103" t="e">
        <f t="shared" ca="1" si="8"/>
        <v>#REF!</v>
      </c>
      <c r="M81" s="103" t="e">
        <f t="shared" ca="1" si="9"/>
        <v>#REF!</v>
      </c>
      <c r="N81" s="104" t="e">
        <f t="shared" ca="1" si="12"/>
        <v>#REF!</v>
      </c>
    </row>
    <row r="82" spans="1:14">
      <c r="A82" s="96">
        <v>44</v>
      </c>
      <c r="B82" s="102" t="e">
        <f t="shared" ca="1" si="0"/>
        <v>#REF!</v>
      </c>
      <c r="C82" s="102" t="e">
        <f t="shared" ca="1" si="1"/>
        <v>#REF!</v>
      </c>
      <c r="D82" s="102" t="e">
        <f t="shared" ca="1" si="2"/>
        <v>#REF!</v>
      </c>
      <c r="E82" s="102" t="e">
        <f t="shared" ca="1" si="3"/>
        <v>#REF!</v>
      </c>
      <c r="F82" s="102" t="e">
        <f t="shared" ca="1" si="4"/>
        <v>#REF!</v>
      </c>
      <c r="G82" s="103">
        <f t="shared" ca="1" si="5"/>
        <v>0.41869897778593129</v>
      </c>
      <c r="H82" s="103">
        <f t="shared" ca="1" si="6"/>
        <v>0.20283753796266407</v>
      </c>
      <c r="I82" s="103" t="e">
        <f t="shared" ca="1" si="10"/>
        <v>#REF!</v>
      </c>
      <c r="J82" s="103" t="e">
        <f t="shared" ca="1" si="7"/>
        <v>#REF!</v>
      </c>
      <c r="K82" s="103" t="e">
        <f t="shared" ca="1" si="11"/>
        <v>#REF!</v>
      </c>
      <c r="L82" s="103" t="e">
        <f t="shared" ca="1" si="8"/>
        <v>#REF!</v>
      </c>
      <c r="M82" s="103" t="e">
        <f t="shared" ca="1" si="9"/>
        <v>#REF!</v>
      </c>
      <c r="N82" s="104" t="e">
        <f t="shared" ca="1" si="12"/>
        <v>#REF!</v>
      </c>
    </row>
    <row r="83" spans="1:14">
      <c r="A83" s="95">
        <v>45</v>
      </c>
      <c r="B83" s="102" t="e">
        <f t="shared" ca="1" si="0"/>
        <v>#REF!</v>
      </c>
      <c r="C83" s="102" t="e">
        <f t="shared" ca="1" si="1"/>
        <v>#REF!</v>
      </c>
      <c r="D83" s="102" t="e">
        <f t="shared" ca="1" si="2"/>
        <v>#REF!</v>
      </c>
      <c r="E83" s="102" t="e">
        <f t="shared" ca="1" si="3"/>
        <v>#REF!</v>
      </c>
      <c r="F83" s="102" t="e">
        <f t="shared" ca="1" si="4"/>
        <v>#REF!</v>
      </c>
      <c r="G83" s="103">
        <f t="shared" ca="1" si="5"/>
        <v>0.43982443286693751</v>
      </c>
      <c r="H83" s="103">
        <f t="shared" ca="1" si="6"/>
        <v>0.18433029050438285</v>
      </c>
      <c r="I83" s="103" t="e">
        <f t="shared" ca="1" si="10"/>
        <v>#REF!</v>
      </c>
      <c r="J83" s="103" t="e">
        <f t="shared" ca="1" si="7"/>
        <v>#REF!</v>
      </c>
      <c r="K83" s="103" t="e">
        <f t="shared" ca="1" si="11"/>
        <v>#REF!</v>
      </c>
      <c r="L83" s="103" t="e">
        <f t="shared" ca="1" si="8"/>
        <v>#REF!</v>
      </c>
      <c r="M83" s="103" t="e">
        <f t="shared" ca="1" si="9"/>
        <v>#REF!</v>
      </c>
      <c r="N83" s="104" t="e">
        <f t="shared" ca="1" si="12"/>
        <v>#REF!</v>
      </c>
    </row>
    <row r="84" spans="1:14">
      <c r="A84" s="96">
        <v>46</v>
      </c>
      <c r="B84" s="102" t="e">
        <f t="shared" ca="1" si="0"/>
        <v>#REF!</v>
      </c>
      <c r="C84" s="102" t="e">
        <f t="shared" ca="1" si="1"/>
        <v>#REF!</v>
      </c>
      <c r="D84" s="102" t="e">
        <f t="shared" ca="1" si="2"/>
        <v>#REF!</v>
      </c>
      <c r="E84" s="102" t="e">
        <f t="shared" ca="1" si="3"/>
        <v>#REF!</v>
      </c>
      <c r="F84" s="102" t="e">
        <f t="shared" ca="1" si="4"/>
        <v>#REF!</v>
      </c>
      <c r="G84" s="103">
        <f t="shared" ca="1" si="5"/>
        <v>0.44192875169422652</v>
      </c>
      <c r="H84" s="103">
        <f t="shared" ca="1" si="6"/>
        <v>0.21638835640816181</v>
      </c>
      <c r="I84" s="103" t="e">
        <f t="shared" ca="1" si="10"/>
        <v>#REF!</v>
      </c>
      <c r="J84" s="103" t="e">
        <f t="shared" ca="1" si="7"/>
        <v>#REF!</v>
      </c>
      <c r="K84" s="103" t="e">
        <f t="shared" ca="1" si="11"/>
        <v>#REF!</v>
      </c>
      <c r="L84" s="103" t="e">
        <f t="shared" ca="1" si="8"/>
        <v>#REF!</v>
      </c>
      <c r="M84" s="103" t="e">
        <f t="shared" ca="1" si="9"/>
        <v>#REF!</v>
      </c>
      <c r="N84" s="104" t="e">
        <f t="shared" ca="1" si="12"/>
        <v>#REF!</v>
      </c>
    </row>
    <row r="85" spans="1:14">
      <c r="A85" s="95">
        <v>47</v>
      </c>
      <c r="B85" s="102" t="e">
        <f t="shared" ca="1" si="0"/>
        <v>#REF!</v>
      </c>
      <c r="C85" s="102" t="e">
        <f t="shared" ca="1" si="1"/>
        <v>#REF!</v>
      </c>
      <c r="D85" s="102" t="e">
        <f t="shared" ca="1" si="2"/>
        <v>#REF!</v>
      </c>
      <c r="E85" s="102" t="e">
        <f t="shared" ca="1" si="3"/>
        <v>#REF!</v>
      </c>
      <c r="F85" s="102" t="e">
        <f t="shared" ca="1" si="4"/>
        <v>#REF!</v>
      </c>
      <c r="G85" s="103">
        <f t="shared" ca="1" si="5"/>
        <v>0.42695498818720112</v>
      </c>
      <c r="H85" s="103">
        <f t="shared" ca="1" si="6"/>
        <v>0.20528659133287683</v>
      </c>
      <c r="I85" s="103" t="e">
        <f t="shared" ca="1" si="10"/>
        <v>#REF!</v>
      </c>
      <c r="J85" s="103" t="e">
        <f t="shared" ca="1" si="7"/>
        <v>#REF!</v>
      </c>
      <c r="K85" s="103" t="e">
        <f t="shared" ca="1" si="11"/>
        <v>#REF!</v>
      </c>
      <c r="L85" s="103" t="e">
        <f t="shared" ca="1" si="8"/>
        <v>#REF!</v>
      </c>
      <c r="M85" s="103" t="e">
        <f t="shared" ca="1" si="9"/>
        <v>#REF!</v>
      </c>
      <c r="N85" s="104" t="e">
        <f t="shared" ca="1" si="12"/>
        <v>#REF!</v>
      </c>
    </row>
    <row r="86" spans="1:14">
      <c r="A86" s="96">
        <v>48</v>
      </c>
      <c r="B86" s="102" t="e">
        <f t="shared" ca="1" si="0"/>
        <v>#REF!</v>
      </c>
      <c r="C86" s="102" t="e">
        <f t="shared" ca="1" si="1"/>
        <v>#REF!</v>
      </c>
      <c r="D86" s="102" t="e">
        <f t="shared" ca="1" si="2"/>
        <v>#REF!</v>
      </c>
      <c r="E86" s="102" t="e">
        <f t="shared" ca="1" si="3"/>
        <v>#REF!</v>
      </c>
      <c r="F86" s="102" t="e">
        <f t="shared" ca="1" si="4"/>
        <v>#REF!</v>
      </c>
      <c r="G86" s="103">
        <f t="shared" ca="1" si="5"/>
        <v>0.42015002911868676</v>
      </c>
      <c r="H86" s="103">
        <f t="shared" ca="1" si="6"/>
        <v>0.20299971286280397</v>
      </c>
      <c r="I86" s="103" t="e">
        <f t="shared" ca="1" si="10"/>
        <v>#REF!</v>
      </c>
      <c r="J86" s="103" t="e">
        <f t="shared" ca="1" si="7"/>
        <v>#REF!</v>
      </c>
      <c r="K86" s="103" t="e">
        <f t="shared" ca="1" si="11"/>
        <v>#REF!</v>
      </c>
      <c r="L86" s="103" t="e">
        <f t="shared" ca="1" si="8"/>
        <v>#REF!</v>
      </c>
      <c r="M86" s="103" t="e">
        <f t="shared" ca="1" si="9"/>
        <v>#REF!</v>
      </c>
      <c r="N86" s="104" t="e">
        <f t="shared" ca="1" si="12"/>
        <v>#REF!</v>
      </c>
    </row>
    <row r="87" spans="1:14">
      <c r="A87" s="95">
        <v>49</v>
      </c>
      <c r="B87" s="102" t="e">
        <f t="shared" ca="1" si="0"/>
        <v>#REF!</v>
      </c>
      <c r="C87" s="102" t="e">
        <f t="shared" ca="1" si="1"/>
        <v>#REF!</v>
      </c>
      <c r="D87" s="102" t="e">
        <f t="shared" ca="1" si="2"/>
        <v>#REF!</v>
      </c>
      <c r="E87" s="102" t="e">
        <f t="shared" ca="1" si="3"/>
        <v>#REF!</v>
      </c>
      <c r="F87" s="102" t="e">
        <f t="shared" ca="1" si="4"/>
        <v>#REF!</v>
      </c>
      <c r="G87" s="103">
        <f t="shared" ca="1" si="5"/>
        <v>0.43319536936106556</v>
      </c>
      <c r="H87" s="103">
        <f t="shared" ca="1" si="6"/>
        <v>0.21072087596651798</v>
      </c>
      <c r="I87" s="103" t="e">
        <f t="shared" ca="1" si="10"/>
        <v>#REF!</v>
      </c>
      <c r="J87" s="103" t="e">
        <f t="shared" ca="1" si="7"/>
        <v>#REF!</v>
      </c>
      <c r="K87" s="103" t="e">
        <f t="shared" ca="1" si="11"/>
        <v>#REF!</v>
      </c>
      <c r="L87" s="103" t="e">
        <f t="shared" ca="1" si="8"/>
        <v>#REF!</v>
      </c>
      <c r="M87" s="103" t="e">
        <f t="shared" ca="1" si="9"/>
        <v>#REF!</v>
      </c>
      <c r="N87" s="104" t="e">
        <f t="shared" ca="1" si="12"/>
        <v>#REF!</v>
      </c>
    </row>
    <row r="88" spans="1:14">
      <c r="A88" s="96">
        <v>50</v>
      </c>
      <c r="B88" s="102" t="e">
        <f t="shared" ca="1" si="0"/>
        <v>#REF!</v>
      </c>
      <c r="C88" s="102" t="e">
        <f t="shared" ca="1" si="1"/>
        <v>#REF!</v>
      </c>
      <c r="D88" s="102" t="e">
        <f t="shared" ca="1" si="2"/>
        <v>#REF!</v>
      </c>
      <c r="E88" s="102" t="e">
        <f t="shared" ca="1" si="3"/>
        <v>#REF!</v>
      </c>
      <c r="F88" s="102" t="e">
        <f t="shared" ca="1" si="4"/>
        <v>#REF!</v>
      </c>
      <c r="G88" s="103">
        <f t="shared" ca="1" si="5"/>
        <v>0.41002854432710933</v>
      </c>
      <c r="H88" s="103">
        <f t="shared" ca="1" si="6"/>
        <v>0.20664835268847034</v>
      </c>
      <c r="I88" s="103" t="e">
        <f t="shared" ca="1" si="10"/>
        <v>#REF!</v>
      </c>
      <c r="J88" s="103" t="e">
        <f t="shared" ca="1" si="7"/>
        <v>#REF!</v>
      </c>
      <c r="K88" s="103" t="e">
        <f t="shared" ca="1" si="11"/>
        <v>#REF!</v>
      </c>
      <c r="L88" s="103" t="e">
        <f t="shared" ca="1" si="8"/>
        <v>#REF!</v>
      </c>
      <c r="M88" s="103" t="e">
        <f t="shared" ca="1" si="9"/>
        <v>#REF!</v>
      </c>
      <c r="N88" s="104" t="e">
        <f t="shared" ca="1" si="12"/>
        <v>#REF!</v>
      </c>
    </row>
    <row r="89" spans="1:14">
      <c r="A89" s="95">
        <v>51</v>
      </c>
      <c r="B89" s="102" t="e">
        <f t="shared" ca="1" si="0"/>
        <v>#REF!</v>
      </c>
      <c r="C89" s="102" t="e">
        <f t="shared" ca="1" si="1"/>
        <v>#REF!</v>
      </c>
      <c r="D89" s="102" t="e">
        <f t="shared" ca="1" si="2"/>
        <v>#REF!</v>
      </c>
      <c r="E89" s="102" t="e">
        <f t="shared" ca="1" si="3"/>
        <v>#REF!</v>
      </c>
      <c r="F89" s="102" t="e">
        <f t="shared" ca="1" si="4"/>
        <v>#REF!</v>
      </c>
      <c r="G89" s="103">
        <f t="shared" ca="1" si="5"/>
        <v>0.48046755451013995</v>
      </c>
      <c r="H89" s="103">
        <f t="shared" ca="1" si="6"/>
        <v>0.20407553706571158</v>
      </c>
      <c r="I89" s="103" t="e">
        <f t="shared" ca="1" si="10"/>
        <v>#REF!</v>
      </c>
      <c r="J89" s="103" t="e">
        <f t="shared" ca="1" si="7"/>
        <v>#REF!</v>
      </c>
      <c r="K89" s="103" t="e">
        <f t="shared" ca="1" si="11"/>
        <v>#REF!</v>
      </c>
      <c r="L89" s="103" t="e">
        <f t="shared" ca="1" si="8"/>
        <v>#REF!</v>
      </c>
      <c r="M89" s="103" t="e">
        <f t="shared" ca="1" si="9"/>
        <v>#REF!</v>
      </c>
      <c r="N89" s="104" t="e">
        <f t="shared" ca="1" si="12"/>
        <v>#REF!</v>
      </c>
    </row>
    <row r="90" spans="1:14">
      <c r="A90" s="96">
        <v>52</v>
      </c>
      <c r="B90" s="102" t="e">
        <f t="shared" ca="1" si="0"/>
        <v>#REF!</v>
      </c>
      <c r="C90" s="102" t="e">
        <f t="shared" ca="1" si="1"/>
        <v>#REF!</v>
      </c>
      <c r="D90" s="102" t="e">
        <f t="shared" ca="1" si="2"/>
        <v>#REF!</v>
      </c>
      <c r="E90" s="102" t="e">
        <f t="shared" ca="1" si="3"/>
        <v>#REF!</v>
      </c>
      <c r="F90" s="102" t="e">
        <f t="shared" ca="1" si="4"/>
        <v>#REF!</v>
      </c>
      <c r="G90" s="103">
        <f t="shared" ca="1" si="5"/>
        <v>0.45731316510664299</v>
      </c>
      <c r="H90" s="103">
        <f t="shared" ca="1" si="6"/>
        <v>0.18995817339299978</v>
      </c>
      <c r="I90" s="103" t="e">
        <f t="shared" ca="1" si="10"/>
        <v>#REF!</v>
      </c>
      <c r="J90" s="103" t="e">
        <f t="shared" ca="1" si="7"/>
        <v>#REF!</v>
      </c>
      <c r="K90" s="103" t="e">
        <f t="shared" ca="1" si="11"/>
        <v>#REF!</v>
      </c>
      <c r="L90" s="103" t="e">
        <f t="shared" ca="1" si="8"/>
        <v>#REF!</v>
      </c>
      <c r="M90" s="103" t="e">
        <f t="shared" ca="1" si="9"/>
        <v>#REF!</v>
      </c>
      <c r="N90" s="104" t="e">
        <f t="shared" ca="1" si="12"/>
        <v>#REF!</v>
      </c>
    </row>
    <row r="91" spans="1:14">
      <c r="A91" s="95">
        <v>53</v>
      </c>
      <c r="B91" s="102" t="e">
        <f t="shared" ca="1" si="0"/>
        <v>#REF!</v>
      </c>
      <c r="C91" s="102" t="e">
        <f t="shared" ca="1" si="1"/>
        <v>#REF!</v>
      </c>
      <c r="D91" s="102" t="e">
        <f t="shared" ca="1" si="2"/>
        <v>#REF!</v>
      </c>
      <c r="E91" s="102" t="e">
        <f t="shared" ca="1" si="3"/>
        <v>#REF!</v>
      </c>
      <c r="F91" s="102" t="e">
        <f t="shared" ca="1" si="4"/>
        <v>#REF!</v>
      </c>
      <c r="G91" s="103">
        <f t="shared" ca="1" si="5"/>
        <v>0.41962289536354486</v>
      </c>
      <c r="H91" s="103">
        <f t="shared" ca="1" si="6"/>
        <v>0.17179501674363024</v>
      </c>
      <c r="I91" s="103" t="e">
        <f t="shared" ca="1" si="10"/>
        <v>#REF!</v>
      </c>
      <c r="J91" s="103" t="e">
        <f t="shared" ca="1" si="7"/>
        <v>#REF!</v>
      </c>
      <c r="K91" s="103" t="e">
        <f t="shared" ca="1" si="11"/>
        <v>#REF!</v>
      </c>
      <c r="L91" s="103" t="e">
        <f t="shared" ca="1" si="8"/>
        <v>#REF!</v>
      </c>
      <c r="M91" s="103" t="e">
        <f t="shared" ca="1" si="9"/>
        <v>#REF!</v>
      </c>
      <c r="N91" s="104" t="e">
        <f t="shared" ca="1" si="12"/>
        <v>#REF!</v>
      </c>
    </row>
    <row r="92" spans="1:14">
      <c r="A92" s="96">
        <v>54</v>
      </c>
      <c r="B92" s="102" t="e">
        <f t="shared" ca="1" si="0"/>
        <v>#REF!</v>
      </c>
      <c r="C92" s="102" t="e">
        <f t="shared" ca="1" si="1"/>
        <v>#REF!</v>
      </c>
      <c r="D92" s="102" t="e">
        <f t="shared" ca="1" si="2"/>
        <v>#REF!</v>
      </c>
      <c r="E92" s="102" t="e">
        <f t="shared" ca="1" si="3"/>
        <v>#REF!</v>
      </c>
      <c r="F92" s="102" t="e">
        <f t="shared" ca="1" si="4"/>
        <v>#REF!</v>
      </c>
      <c r="G92" s="103">
        <f t="shared" ca="1" si="5"/>
        <v>0.42122499768141275</v>
      </c>
      <c r="H92" s="103">
        <f t="shared" ca="1" si="6"/>
        <v>0.16863510067626714</v>
      </c>
      <c r="I92" s="103" t="e">
        <f t="shared" ca="1" si="10"/>
        <v>#REF!</v>
      </c>
      <c r="J92" s="103" t="e">
        <f t="shared" ca="1" si="7"/>
        <v>#REF!</v>
      </c>
      <c r="K92" s="103" t="e">
        <f t="shared" ca="1" si="11"/>
        <v>#REF!</v>
      </c>
      <c r="L92" s="103" t="e">
        <f t="shared" ca="1" si="8"/>
        <v>#REF!</v>
      </c>
      <c r="M92" s="103" t="e">
        <f t="shared" ca="1" si="9"/>
        <v>#REF!</v>
      </c>
      <c r="N92" s="104" t="e">
        <f t="shared" ca="1" si="12"/>
        <v>#REF!</v>
      </c>
    </row>
    <row r="93" spans="1:14">
      <c r="A93" s="95">
        <v>55</v>
      </c>
      <c r="B93" s="102" t="e">
        <f t="shared" ca="1" si="0"/>
        <v>#REF!</v>
      </c>
      <c r="C93" s="102" t="e">
        <f t="shared" ca="1" si="1"/>
        <v>#REF!</v>
      </c>
      <c r="D93" s="102" t="e">
        <f t="shared" ca="1" si="2"/>
        <v>#REF!</v>
      </c>
      <c r="E93" s="102" t="e">
        <f t="shared" ca="1" si="3"/>
        <v>#REF!</v>
      </c>
      <c r="F93" s="102" t="e">
        <f t="shared" ca="1" si="4"/>
        <v>#REF!</v>
      </c>
      <c r="G93" s="103">
        <f t="shared" ca="1" si="5"/>
        <v>0.45824414374222583</v>
      </c>
      <c r="H93" s="103">
        <f t="shared" ca="1" si="6"/>
        <v>0.20385918791248234</v>
      </c>
      <c r="I93" s="103" t="e">
        <f t="shared" ca="1" si="10"/>
        <v>#REF!</v>
      </c>
      <c r="J93" s="103" t="e">
        <f t="shared" ca="1" si="7"/>
        <v>#REF!</v>
      </c>
      <c r="K93" s="103" t="e">
        <f t="shared" ca="1" si="11"/>
        <v>#REF!</v>
      </c>
      <c r="L93" s="103" t="e">
        <f t="shared" ca="1" si="8"/>
        <v>#REF!</v>
      </c>
      <c r="M93" s="103" t="e">
        <f t="shared" ca="1" si="9"/>
        <v>#REF!</v>
      </c>
      <c r="N93" s="104" t="e">
        <f t="shared" ca="1" si="12"/>
        <v>#REF!</v>
      </c>
    </row>
    <row r="94" spans="1:14">
      <c r="A94" s="96">
        <v>56</v>
      </c>
      <c r="B94" s="102" t="e">
        <f t="shared" ca="1" si="0"/>
        <v>#REF!</v>
      </c>
      <c r="C94" s="102" t="e">
        <f t="shared" ca="1" si="1"/>
        <v>#REF!</v>
      </c>
      <c r="D94" s="102" t="e">
        <f t="shared" ca="1" si="2"/>
        <v>#REF!</v>
      </c>
      <c r="E94" s="102" t="e">
        <f t="shared" ca="1" si="3"/>
        <v>#REF!</v>
      </c>
      <c r="F94" s="102" t="e">
        <f t="shared" ca="1" si="4"/>
        <v>#REF!</v>
      </c>
      <c r="G94" s="103">
        <f t="shared" ca="1" si="5"/>
        <v>0.47817080405053203</v>
      </c>
      <c r="H94" s="103">
        <f t="shared" ca="1" si="6"/>
        <v>0.19536611288127478</v>
      </c>
      <c r="I94" s="103" t="e">
        <f t="shared" ca="1" si="10"/>
        <v>#REF!</v>
      </c>
      <c r="J94" s="103" t="e">
        <f t="shared" ca="1" si="7"/>
        <v>#REF!</v>
      </c>
      <c r="K94" s="103" t="e">
        <f t="shared" ca="1" si="11"/>
        <v>#REF!</v>
      </c>
      <c r="L94" s="103" t="e">
        <f t="shared" ca="1" si="8"/>
        <v>#REF!</v>
      </c>
      <c r="M94" s="103" t="e">
        <f t="shared" ca="1" si="9"/>
        <v>#REF!</v>
      </c>
      <c r="N94" s="104" t="e">
        <f t="shared" ca="1" si="12"/>
        <v>#REF!</v>
      </c>
    </row>
    <row r="95" spans="1:14">
      <c r="A95" s="95">
        <v>57</v>
      </c>
      <c r="B95" s="102" t="e">
        <f t="shared" ca="1" si="0"/>
        <v>#REF!</v>
      </c>
      <c r="C95" s="102" t="e">
        <f t="shared" ca="1" si="1"/>
        <v>#REF!</v>
      </c>
      <c r="D95" s="102" t="e">
        <f t="shared" ca="1" si="2"/>
        <v>#REF!</v>
      </c>
      <c r="E95" s="102" t="e">
        <f t="shared" ca="1" si="3"/>
        <v>#REF!</v>
      </c>
      <c r="F95" s="102" t="e">
        <f t="shared" ca="1" si="4"/>
        <v>#REF!</v>
      </c>
      <c r="G95" s="103">
        <f t="shared" ca="1" si="5"/>
        <v>0.43721611619510653</v>
      </c>
      <c r="H95" s="103">
        <f t="shared" ca="1" si="6"/>
        <v>0.21037188871279772</v>
      </c>
      <c r="I95" s="103" t="e">
        <f t="shared" ca="1" si="10"/>
        <v>#REF!</v>
      </c>
      <c r="J95" s="103" t="e">
        <f t="shared" ca="1" si="7"/>
        <v>#REF!</v>
      </c>
      <c r="K95" s="103" t="e">
        <f t="shared" ca="1" si="11"/>
        <v>#REF!</v>
      </c>
      <c r="L95" s="103" t="e">
        <f t="shared" ca="1" si="8"/>
        <v>#REF!</v>
      </c>
      <c r="M95" s="103" t="e">
        <f t="shared" ca="1" si="9"/>
        <v>#REF!</v>
      </c>
      <c r="N95" s="104" t="e">
        <f t="shared" ca="1" si="12"/>
        <v>#REF!</v>
      </c>
    </row>
    <row r="96" spans="1:14">
      <c r="A96" s="96">
        <v>58</v>
      </c>
      <c r="B96" s="102" t="e">
        <f t="shared" ca="1" si="0"/>
        <v>#REF!</v>
      </c>
      <c r="C96" s="102" t="e">
        <f t="shared" ca="1" si="1"/>
        <v>#REF!</v>
      </c>
      <c r="D96" s="102" t="e">
        <f t="shared" ca="1" si="2"/>
        <v>#REF!</v>
      </c>
      <c r="E96" s="102" t="e">
        <f t="shared" ca="1" si="3"/>
        <v>#REF!</v>
      </c>
      <c r="F96" s="102" t="e">
        <f t="shared" ca="1" si="4"/>
        <v>#REF!</v>
      </c>
      <c r="G96" s="103">
        <f t="shared" ca="1" si="5"/>
        <v>0.42741972336178102</v>
      </c>
      <c r="H96" s="103">
        <f t="shared" ca="1" si="6"/>
        <v>0.1935628722918975</v>
      </c>
      <c r="I96" s="103" t="e">
        <f t="shared" ca="1" si="10"/>
        <v>#REF!</v>
      </c>
      <c r="J96" s="103" t="e">
        <f t="shared" ca="1" si="7"/>
        <v>#REF!</v>
      </c>
      <c r="K96" s="103" t="e">
        <f t="shared" ca="1" si="11"/>
        <v>#REF!</v>
      </c>
      <c r="L96" s="103" t="e">
        <f t="shared" ca="1" si="8"/>
        <v>#REF!</v>
      </c>
      <c r="M96" s="103" t="e">
        <f t="shared" ca="1" si="9"/>
        <v>#REF!</v>
      </c>
      <c r="N96" s="104" t="e">
        <f t="shared" ca="1" si="12"/>
        <v>#REF!</v>
      </c>
    </row>
    <row r="97" spans="1:14">
      <c r="A97" s="95">
        <v>59</v>
      </c>
      <c r="B97" s="102" t="e">
        <f t="shared" ca="1" si="0"/>
        <v>#REF!</v>
      </c>
      <c r="C97" s="102" t="e">
        <f t="shared" ca="1" si="1"/>
        <v>#REF!</v>
      </c>
      <c r="D97" s="102" t="e">
        <f t="shared" ca="1" si="2"/>
        <v>#REF!</v>
      </c>
      <c r="E97" s="102" t="e">
        <f t="shared" ca="1" si="3"/>
        <v>#REF!</v>
      </c>
      <c r="F97" s="102" t="e">
        <f t="shared" ca="1" si="4"/>
        <v>#REF!</v>
      </c>
      <c r="G97" s="103">
        <f t="shared" ca="1" si="5"/>
        <v>0.45309593797746978</v>
      </c>
      <c r="H97" s="103">
        <f t="shared" ca="1" si="6"/>
        <v>0.1951446906446275</v>
      </c>
      <c r="I97" s="103" t="e">
        <f t="shared" ca="1" si="10"/>
        <v>#REF!</v>
      </c>
      <c r="J97" s="103" t="e">
        <f t="shared" ca="1" si="7"/>
        <v>#REF!</v>
      </c>
      <c r="K97" s="103" t="e">
        <f t="shared" ca="1" si="11"/>
        <v>#REF!</v>
      </c>
      <c r="L97" s="103" t="e">
        <f t="shared" ca="1" si="8"/>
        <v>#REF!</v>
      </c>
      <c r="M97" s="103" t="e">
        <f t="shared" ca="1" si="9"/>
        <v>#REF!</v>
      </c>
      <c r="N97" s="104" t="e">
        <f t="shared" ca="1" si="12"/>
        <v>#REF!</v>
      </c>
    </row>
    <row r="98" spans="1:14">
      <c r="A98" s="96">
        <v>60</v>
      </c>
      <c r="B98" s="102" t="e">
        <f t="shared" ca="1" si="0"/>
        <v>#REF!</v>
      </c>
      <c r="C98" s="102" t="e">
        <f t="shared" ca="1" si="1"/>
        <v>#REF!</v>
      </c>
      <c r="D98" s="102" t="e">
        <f t="shared" ca="1" si="2"/>
        <v>#REF!</v>
      </c>
      <c r="E98" s="102" t="e">
        <f t="shared" ca="1" si="3"/>
        <v>#REF!</v>
      </c>
      <c r="F98" s="102" t="e">
        <f t="shared" ca="1" si="4"/>
        <v>#REF!</v>
      </c>
      <c r="G98" s="103">
        <f t="shared" ca="1" si="5"/>
        <v>0.43242503088691392</v>
      </c>
      <c r="H98" s="103">
        <f t="shared" ca="1" si="6"/>
        <v>0.21065681878188383</v>
      </c>
      <c r="I98" s="103" t="e">
        <f t="shared" ca="1" si="10"/>
        <v>#REF!</v>
      </c>
      <c r="J98" s="103" t="e">
        <f t="shared" ca="1" si="7"/>
        <v>#REF!</v>
      </c>
      <c r="K98" s="103" t="e">
        <f t="shared" ca="1" si="11"/>
        <v>#REF!</v>
      </c>
      <c r="L98" s="103" t="e">
        <f t="shared" ca="1" si="8"/>
        <v>#REF!</v>
      </c>
      <c r="M98" s="103" t="e">
        <f t="shared" ca="1" si="9"/>
        <v>#REF!</v>
      </c>
      <c r="N98" s="104" t="e">
        <f t="shared" ca="1" si="12"/>
        <v>#REF!</v>
      </c>
    </row>
    <row r="99" spans="1:14">
      <c r="A99" s="95">
        <v>61</v>
      </c>
      <c r="B99" s="102" t="e">
        <f t="shared" ca="1" si="0"/>
        <v>#REF!</v>
      </c>
      <c r="C99" s="102" t="e">
        <f t="shared" ca="1" si="1"/>
        <v>#REF!</v>
      </c>
      <c r="D99" s="102" t="e">
        <f t="shared" ca="1" si="2"/>
        <v>#REF!</v>
      </c>
      <c r="E99" s="102" t="e">
        <f t="shared" ca="1" si="3"/>
        <v>#REF!</v>
      </c>
      <c r="F99" s="102" t="e">
        <f t="shared" ca="1" si="4"/>
        <v>#REF!</v>
      </c>
      <c r="G99" s="103">
        <f t="shared" ca="1" si="5"/>
        <v>0.44817551015303525</v>
      </c>
      <c r="H99" s="103">
        <f t="shared" ca="1" si="6"/>
        <v>0.21902634385760625</v>
      </c>
      <c r="I99" s="103" t="e">
        <f t="shared" ca="1" si="10"/>
        <v>#REF!</v>
      </c>
      <c r="J99" s="103" t="e">
        <f t="shared" ca="1" si="7"/>
        <v>#REF!</v>
      </c>
      <c r="K99" s="103" t="e">
        <f t="shared" ca="1" si="11"/>
        <v>#REF!</v>
      </c>
      <c r="L99" s="103" t="e">
        <f t="shared" ca="1" si="8"/>
        <v>#REF!</v>
      </c>
      <c r="M99" s="103" t="e">
        <f t="shared" ca="1" si="9"/>
        <v>#REF!</v>
      </c>
      <c r="N99" s="104" t="e">
        <f t="shared" ca="1" si="12"/>
        <v>#REF!</v>
      </c>
    </row>
    <row r="100" spans="1:14">
      <c r="A100" s="96">
        <v>62</v>
      </c>
      <c r="B100" s="102" t="e">
        <f t="shared" ca="1" si="0"/>
        <v>#REF!</v>
      </c>
      <c r="C100" s="102" t="e">
        <f t="shared" ca="1" si="1"/>
        <v>#REF!</v>
      </c>
      <c r="D100" s="102" t="e">
        <f t="shared" ca="1" si="2"/>
        <v>#REF!</v>
      </c>
      <c r="E100" s="102" t="e">
        <f t="shared" ca="1" si="3"/>
        <v>#REF!</v>
      </c>
      <c r="F100" s="102" t="e">
        <f t="shared" ca="1" si="4"/>
        <v>#REF!</v>
      </c>
      <c r="G100" s="103">
        <f t="shared" ca="1" si="5"/>
        <v>0.44526346609239609</v>
      </c>
      <c r="H100" s="103">
        <f t="shared" ca="1" si="6"/>
        <v>0.20116162100634666</v>
      </c>
      <c r="I100" s="103" t="e">
        <f t="shared" ca="1" si="10"/>
        <v>#REF!</v>
      </c>
      <c r="J100" s="103" t="e">
        <f t="shared" ca="1" si="7"/>
        <v>#REF!</v>
      </c>
      <c r="K100" s="103" t="e">
        <f t="shared" ca="1" si="11"/>
        <v>#REF!</v>
      </c>
      <c r="L100" s="103" t="e">
        <f t="shared" ca="1" si="8"/>
        <v>#REF!</v>
      </c>
      <c r="M100" s="103" t="e">
        <f t="shared" ca="1" si="9"/>
        <v>#REF!</v>
      </c>
      <c r="N100" s="104" t="e">
        <f t="shared" ca="1" si="12"/>
        <v>#REF!</v>
      </c>
    </row>
    <row r="101" spans="1:14">
      <c r="A101" s="95">
        <v>63</v>
      </c>
      <c r="B101" s="102" t="e">
        <f t="shared" ca="1" si="0"/>
        <v>#REF!</v>
      </c>
      <c r="C101" s="102" t="e">
        <f t="shared" ca="1" si="1"/>
        <v>#REF!</v>
      </c>
      <c r="D101" s="102" t="e">
        <f t="shared" ca="1" si="2"/>
        <v>#REF!</v>
      </c>
      <c r="E101" s="102" t="e">
        <f t="shared" ca="1" si="3"/>
        <v>#REF!</v>
      </c>
      <c r="F101" s="102" t="e">
        <f t="shared" ca="1" si="4"/>
        <v>#REF!</v>
      </c>
      <c r="G101" s="103">
        <f t="shared" ca="1" si="5"/>
        <v>0.41730950142280843</v>
      </c>
      <c r="H101" s="103">
        <f t="shared" ca="1" si="6"/>
        <v>0.21018697201640241</v>
      </c>
      <c r="I101" s="103" t="e">
        <f t="shared" ca="1" si="10"/>
        <v>#REF!</v>
      </c>
      <c r="J101" s="103" t="e">
        <f t="shared" ca="1" si="7"/>
        <v>#REF!</v>
      </c>
      <c r="K101" s="103" t="e">
        <f t="shared" ca="1" si="11"/>
        <v>#REF!</v>
      </c>
      <c r="L101" s="103" t="e">
        <f t="shared" ca="1" si="8"/>
        <v>#REF!</v>
      </c>
      <c r="M101" s="103" t="e">
        <f t="shared" ca="1" si="9"/>
        <v>#REF!</v>
      </c>
      <c r="N101" s="104" t="e">
        <f t="shared" ca="1" si="12"/>
        <v>#REF!</v>
      </c>
    </row>
    <row r="102" spans="1:14">
      <c r="A102" s="96">
        <v>64</v>
      </c>
      <c r="B102" s="102" t="e">
        <f t="shared" ca="1" si="0"/>
        <v>#REF!</v>
      </c>
      <c r="C102" s="102" t="e">
        <f t="shared" ca="1" si="1"/>
        <v>#REF!</v>
      </c>
      <c r="D102" s="102" t="e">
        <f t="shared" ca="1" si="2"/>
        <v>#REF!</v>
      </c>
      <c r="E102" s="102" t="e">
        <f t="shared" ca="1" si="3"/>
        <v>#REF!</v>
      </c>
      <c r="F102" s="102" t="e">
        <f t="shared" ca="1" si="4"/>
        <v>#REF!</v>
      </c>
      <c r="G102" s="103">
        <f t="shared" ca="1" si="5"/>
        <v>0.4830396082096744</v>
      </c>
      <c r="H102" s="103">
        <f t="shared" ca="1" si="6"/>
        <v>0.20998440658970227</v>
      </c>
      <c r="I102" s="103" t="e">
        <f t="shared" ca="1" si="10"/>
        <v>#REF!</v>
      </c>
      <c r="J102" s="103" t="e">
        <f t="shared" ca="1" si="7"/>
        <v>#REF!</v>
      </c>
      <c r="K102" s="103" t="e">
        <f t="shared" ca="1" si="11"/>
        <v>#REF!</v>
      </c>
      <c r="L102" s="103" t="e">
        <f t="shared" ca="1" si="8"/>
        <v>#REF!</v>
      </c>
      <c r="M102" s="103" t="e">
        <f t="shared" ca="1" si="9"/>
        <v>#REF!</v>
      </c>
      <c r="N102" s="104" t="e">
        <f t="shared" ca="1" si="12"/>
        <v>#REF!</v>
      </c>
    </row>
    <row r="103" spans="1:14">
      <c r="A103" s="95">
        <v>65</v>
      </c>
      <c r="B103" s="102" t="e">
        <f t="shared" ca="1" si="0"/>
        <v>#REF!</v>
      </c>
      <c r="C103" s="102" t="e">
        <f t="shared" ca="1" si="1"/>
        <v>#REF!</v>
      </c>
      <c r="D103" s="102" t="e">
        <f t="shared" ca="1" si="2"/>
        <v>#REF!</v>
      </c>
      <c r="E103" s="102" t="e">
        <f t="shared" ca="1" si="3"/>
        <v>#REF!</v>
      </c>
      <c r="F103" s="102" t="e">
        <f t="shared" ca="1" si="4"/>
        <v>#REF!</v>
      </c>
      <c r="G103" s="103">
        <f t="shared" ca="1" si="5"/>
        <v>0.46326371046792159</v>
      </c>
      <c r="H103" s="103">
        <f t="shared" ca="1" si="6"/>
        <v>0.20944522441257377</v>
      </c>
      <c r="I103" s="103" t="e">
        <f t="shared" ca="1" si="10"/>
        <v>#REF!</v>
      </c>
      <c r="J103" s="103" t="e">
        <f t="shared" ca="1" si="7"/>
        <v>#REF!</v>
      </c>
      <c r="K103" s="103" t="e">
        <f t="shared" ca="1" si="11"/>
        <v>#REF!</v>
      </c>
      <c r="L103" s="103" t="e">
        <f t="shared" ca="1" si="8"/>
        <v>#REF!</v>
      </c>
      <c r="M103" s="103" t="e">
        <f t="shared" ca="1" si="9"/>
        <v>#REF!</v>
      </c>
      <c r="N103" s="104" t="e">
        <f t="shared" ca="1" si="12"/>
        <v>#REF!</v>
      </c>
    </row>
    <row r="104" spans="1:14">
      <c r="A104" s="96">
        <v>66</v>
      </c>
      <c r="B104" s="102" t="e">
        <f t="shared" ref="B104:B167" ca="1" si="13">_xlfn.LOGNORM.INV(RAND(),$D$5,$E$5)</f>
        <v>#REF!</v>
      </c>
      <c r="C104" s="102" t="e">
        <f t="shared" ref="C104:C167" ca="1" si="14">_xlfn.LOGNORM.INV(RAND(),$D$6,$E$6)</f>
        <v>#REF!</v>
      </c>
      <c r="D104" s="102" t="e">
        <f t="shared" ref="D104:D167" ca="1" si="15">_xlfn.LOGNORM.INV(RAND(),$D$7,$E$7)</f>
        <v>#REF!</v>
      </c>
      <c r="E104" s="102" t="e">
        <f t="shared" ref="E104:E167" ca="1" si="16">_xlfn.LOGNORM.INV(RAND(),$D$8,$E$8)</f>
        <v>#REF!</v>
      </c>
      <c r="F104" s="102" t="e">
        <f t="shared" ref="F104:F167" ca="1" si="17">_xlfn.LOGNORM.INV(RAND(),$D$9,$E$9)</f>
        <v>#REF!</v>
      </c>
      <c r="G104" s="103">
        <f t="shared" ref="G104:G167" ca="1" si="18">_xlfn.NORM.INV(RAND(),$B$12,$C$12)</f>
        <v>0.44566351857569569</v>
      </c>
      <c r="H104" s="103">
        <f t="shared" ref="H104:H167" ca="1" si="19">_xlfn.NORM.INV(RAND(),$B$13,$C$13)</f>
        <v>0.19181184352032149</v>
      </c>
      <c r="I104" s="103" t="e">
        <f t="shared" ref="I104:I167" ca="1" si="20">G104*($E$16/24)+H104*(1-$E$16/24)</f>
        <v>#REF!</v>
      </c>
      <c r="J104" s="103" t="e">
        <f t="shared" ref="J104:J167" ca="1" si="21">G104*($E$17/24)+H104*(1-$E$17/24)</f>
        <v>#REF!</v>
      </c>
      <c r="K104" s="103" t="e">
        <f t="shared" ref="K104:K167" ca="1" si="22">G104*($E$18/24)+H104*(1-$E$18/24)</f>
        <v>#REF!</v>
      </c>
      <c r="L104" s="103" t="e">
        <f t="shared" ref="L104:L167" ca="1" si="23">G104*($E$19/24)+H104*(1-$E$19/24)</f>
        <v>#REF!</v>
      </c>
      <c r="M104" s="103" t="e">
        <f t="shared" ref="M104:M167" ca="1" si="24">G104*($E$20/24)+H104*(1-$E$20/24)</f>
        <v>#REF!</v>
      </c>
      <c r="N104" s="104" t="e">
        <f t="shared" ref="N104:N167" ca="1" si="25">B104*$B$16+C104*$B$17+D104*$B$18+E104*$B$19+F104*$B$20-($C$16*$D$16*I104+$C$17*$D$17*J104+$C$18*$D$18*K104+$C$19*$D$19*L104+$C$20*$D$20*M104)</f>
        <v>#REF!</v>
      </c>
    </row>
    <row r="105" spans="1:14">
      <c r="A105" s="95">
        <v>67</v>
      </c>
      <c r="B105" s="102" t="e">
        <f t="shared" ca="1" si="13"/>
        <v>#REF!</v>
      </c>
      <c r="C105" s="102" t="e">
        <f t="shared" ca="1" si="14"/>
        <v>#REF!</v>
      </c>
      <c r="D105" s="102" t="e">
        <f t="shared" ca="1" si="15"/>
        <v>#REF!</v>
      </c>
      <c r="E105" s="102" t="e">
        <f t="shared" ca="1" si="16"/>
        <v>#REF!</v>
      </c>
      <c r="F105" s="102" t="e">
        <f t="shared" ca="1" si="17"/>
        <v>#REF!</v>
      </c>
      <c r="G105" s="103">
        <f t="shared" ca="1" si="18"/>
        <v>0.42972166634508724</v>
      </c>
      <c r="H105" s="103">
        <f t="shared" ca="1" si="19"/>
        <v>0.21918451462599151</v>
      </c>
      <c r="I105" s="103" t="e">
        <f t="shared" ca="1" si="20"/>
        <v>#REF!</v>
      </c>
      <c r="J105" s="103" t="e">
        <f t="shared" ca="1" si="21"/>
        <v>#REF!</v>
      </c>
      <c r="K105" s="103" t="e">
        <f t="shared" ca="1" si="22"/>
        <v>#REF!</v>
      </c>
      <c r="L105" s="103" t="e">
        <f t="shared" ca="1" si="23"/>
        <v>#REF!</v>
      </c>
      <c r="M105" s="103" t="e">
        <f t="shared" ca="1" si="24"/>
        <v>#REF!</v>
      </c>
      <c r="N105" s="104" t="e">
        <f t="shared" ca="1" si="25"/>
        <v>#REF!</v>
      </c>
    </row>
    <row r="106" spans="1:14">
      <c r="A106" s="96">
        <v>68</v>
      </c>
      <c r="B106" s="102" t="e">
        <f t="shared" ca="1" si="13"/>
        <v>#REF!</v>
      </c>
      <c r="C106" s="102" t="e">
        <f t="shared" ca="1" si="14"/>
        <v>#REF!</v>
      </c>
      <c r="D106" s="102" t="e">
        <f t="shared" ca="1" si="15"/>
        <v>#REF!</v>
      </c>
      <c r="E106" s="102" t="e">
        <f t="shared" ca="1" si="16"/>
        <v>#REF!</v>
      </c>
      <c r="F106" s="102" t="e">
        <f t="shared" ca="1" si="17"/>
        <v>#REF!</v>
      </c>
      <c r="G106" s="103">
        <f t="shared" ca="1" si="18"/>
        <v>0.43030761093505754</v>
      </c>
      <c r="H106" s="103">
        <f t="shared" ca="1" si="19"/>
        <v>0.22295186406786982</v>
      </c>
      <c r="I106" s="103" t="e">
        <f t="shared" ca="1" si="20"/>
        <v>#REF!</v>
      </c>
      <c r="J106" s="103" t="e">
        <f t="shared" ca="1" si="21"/>
        <v>#REF!</v>
      </c>
      <c r="K106" s="103" t="e">
        <f t="shared" ca="1" si="22"/>
        <v>#REF!</v>
      </c>
      <c r="L106" s="103" t="e">
        <f t="shared" ca="1" si="23"/>
        <v>#REF!</v>
      </c>
      <c r="M106" s="103" t="e">
        <f t="shared" ca="1" si="24"/>
        <v>#REF!</v>
      </c>
      <c r="N106" s="104" t="e">
        <f t="shared" ca="1" si="25"/>
        <v>#REF!</v>
      </c>
    </row>
    <row r="107" spans="1:14">
      <c r="A107" s="95">
        <v>69</v>
      </c>
      <c r="B107" s="102" t="e">
        <f t="shared" ca="1" si="13"/>
        <v>#REF!</v>
      </c>
      <c r="C107" s="102" t="e">
        <f t="shared" ca="1" si="14"/>
        <v>#REF!</v>
      </c>
      <c r="D107" s="102" t="e">
        <f t="shared" ca="1" si="15"/>
        <v>#REF!</v>
      </c>
      <c r="E107" s="102" t="e">
        <f t="shared" ca="1" si="16"/>
        <v>#REF!</v>
      </c>
      <c r="F107" s="102" t="e">
        <f t="shared" ca="1" si="17"/>
        <v>#REF!</v>
      </c>
      <c r="G107" s="103">
        <f t="shared" ca="1" si="18"/>
        <v>0.37455199772451836</v>
      </c>
      <c r="H107" s="103">
        <f t="shared" ca="1" si="19"/>
        <v>0.21197694184533933</v>
      </c>
      <c r="I107" s="103" t="e">
        <f t="shared" ca="1" si="20"/>
        <v>#REF!</v>
      </c>
      <c r="J107" s="103" t="e">
        <f t="shared" ca="1" si="21"/>
        <v>#REF!</v>
      </c>
      <c r="K107" s="103" t="e">
        <f t="shared" ca="1" si="22"/>
        <v>#REF!</v>
      </c>
      <c r="L107" s="103" t="e">
        <f t="shared" ca="1" si="23"/>
        <v>#REF!</v>
      </c>
      <c r="M107" s="103" t="e">
        <f t="shared" ca="1" si="24"/>
        <v>#REF!</v>
      </c>
      <c r="N107" s="104" t="e">
        <f t="shared" ca="1" si="25"/>
        <v>#REF!</v>
      </c>
    </row>
    <row r="108" spans="1:14">
      <c r="A108" s="96">
        <v>70</v>
      </c>
      <c r="B108" s="102" t="e">
        <f t="shared" ca="1" si="13"/>
        <v>#REF!</v>
      </c>
      <c r="C108" s="102" t="e">
        <f t="shared" ca="1" si="14"/>
        <v>#REF!</v>
      </c>
      <c r="D108" s="102" t="e">
        <f t="shared" ca="1" si="15"/>
        <v>#REF!</v>
      </c>
      <c r="E108" s="102" t="e">
        <f t="shared" ca="1" si="16"/>
        <v>#REF!</v>
      </c>
      <c r="F108" s="102" t="e">
        <f t="shared" ca="1" si="17"/>
        <v>#REF!</v>
      </c>
      <c r="G108" s="103">
        <f t="shared" ca="1" si="18"/>
        <v>0.4006417361314798</v>
      </c>
      <c r="H108" s="103">
        <f t="shared" ca="1" si="19"/>
        <v>0.19372052309332671</v>
      </c>
      <c r="I108" s="103" t="e">
        <f t="shared" ca="1" si="20"/>
        <v>#REF!</v>
      </c>
      <c r="J108" s="103" t="e">
        <f t="shared" ca="1" si="21"/>
        <v>#REF!</v>
      </c>
      <c r="K108" s="103" t="e">
        <f t="shared" ca="1" si="22"/>
        <v>#REF!</v>
      </c>
      <c r="L108" s="103" t="e">
        <f t="shared" ca="1" si="23"/>
        <v>#REF!</v>
      </c>
      <c r="M108" s="103" t="e">
        <f t="shared" ca="1" si="24"/>
        <v>#REF!</v>
      </c>
      <c r="N108" s="104" t="e">
        <f t="shared" ca="1" si="25"/>
        <v>#REF!</v>
      </c>
    </row>
    <row r="109" spans="1:14">
      <c r="A109" s="95">
        <v>71</v>
      </c>
      <c r="B109" s="102" t="e">
        <f t="shared" ca="1" si="13"/>
        <v>#REF!</v>
      </c>
      <c r="C109" s="102" t="e">
        <f t="shared" ca="1" si="14"/>
        <v>#REF!</v>
      </c>
      <c r="D109" s="102" t="e">
        <f t="shared" ca="1" si="15"/>
        <v>#REF!</v>
      </c>
      <c r="E109" s="102" t="e">
        <f t="shared" ca="1" si="16"/>
        <v>#REF!</v>
      </c>
      <c r="F109" s="102" t="e">
        <f t="shared" ca="1" si="17"/>
        <v>#REF!</v>
      </c>
      <c r="G109" s="103">
        <f t="shared" ca="1" si="18"/>
        <v>0.46158842190449201</v>
      </c>
      <c r="H109" s="103">
        <f t="shared" ca="1" si="19"/>
        <v>0.22652428730418386</v>
      </c>
      <c r="I109" s="103" t="e">
        <f t="shared" ca="1" si="20"/>
        <v>#REF!</v>
      </c>
      <c r="J109" s="103" t="e">
        <f t="shared" ca="1" si="21"/>
        <v>#REF!</v>
      </c>
      <c r="K109" s="103" t="e">
        <f t="shared" ca="1" si="22"/>
        <v>#REF!</v>
      </c>
      <c r="L109" s="103" t="e">
        <f t="shared" ca="1" si="23"/>
        <v>#REF!</v>
      </c>
      <c r="M109" s="103" t="e">
        <f t="shared" ca="1" si="24"/>
        <v>#REF!</v>
      </c>
      <c r="N109" s="104" t="e">
        <f t="shared" ca="1" si="25"/>
        <v>#REF!</v>
      </c>
    </row>
    <row r="110" spans="1:14">
      <c r="A110" s="96">
        <v>72</v>
      </c>
      <c r="B110" s="102" t="e">
        <f t="shared" ca="1" si="13"/>
        <v>#REF!</v>
      </c>
      <c r="C110" s="102" t="e">
        <f t="shared" ca="1" si="14"/>
        <v>#REF!</v>
      </c>
      <c r="D110" s="102" t="e">
        <f t="shared" ca="1" si="15"/>
        <v>#REF!</v>
      </c>
      <c r="E110" s="102" t="e">
        <f t="shared" ca="1" si="16"/>
        <v>#REF!</v>
      </c>
      <c r="F110" s="102" t="e">
        <f t="shared" ca="1" si="17"/>
        <v>#REF!</v>
      </c>
      <c r="G110" s="103">
        <f t="shared" ca="1" si="18"/>
        <v>0.45419875356286205</v>
      </c>
      <c r="H110" s="103">
        <f t="shared" ca="1" si="19"/>
        <v>0.19959637698600768</v>
      </c>
      <c r="I110" s="103" t="e">
        <f t="shared" ca="1" si="20"/>
        <v>#REF!</v>
      </c>
      <c r="J110" s="103" t="e">
        <f t="shared" ca="1" si="21"/>
        <v>#REF!</v>
      </c>
      <c r="K110" s="103" t="e">
        <f t="shared" ca="1" si="22"/>
        <v>#REF!</v>
      </c>
      <c r="L110" s="103" t="e">
        <f t="shared" ca="1" si="23"/>
        <v>#REF!</v>
      </c>
      <c r="M110" s="103" t="e">
        <f t="shared" ca="1" si="24"/>
        <v>#REF!</v>
      </c>
      <c r="N110" s="104" t="e">
        <f t="shared" ca="1" si="25"/>
        <v>#REF!</v>
      </c>
    </row>
    <row r="111" spans="1:14">
      <c r="A111" s="95">
        <v>73</v>
      </c>
      <c r="B111" s="102" t="e">
        <f t="shared" ca="1" si="13"/>
        <v>#REF!</v>
      </c>
      <c r="C111" s="102" t="e">
        <f t="shared" ca="1" si="14"/>
        <v>#REF!</v>
      </c>
      <c r="D111" s="102" t="e">
        <f t="shared" ca="1" si="15"/>
        <v>#REF!</v>
      </c>
      <c r="E111" s="102" t="e">
        <f t="shared" ca="1" si="16"/>
        <v>#REF!</v>
      </c>
      <c r="F111" s="102" t="e">
        <f t="shared" ca="1" si="17"/>
        <v>#REF!</v>
      </c>
      <c r="G111" s="103">
        <f t="shared" ca="1" si="18"/>
        <v>0.40239510152655278</v>
      </c>
      <c r="H111" s="103">
        <f t="shared" ca="1" si="19"/>
        <v>0.1999192160746322</v>
      </c>
      <c r="I111" s="103" t="e">
        <f t="shared" ca="1" si="20"/>
        <v>#REF!</v>
      </c>
      <c r="J111" s="103" t="e">
        <f t="shared" ca="1" si="21"/>
        <v>#REF!</v>
      </c>
      <c r="K111" s="103" t="e">
        <f t="shared" ca="1" si="22"/>
        <v>#REF!</v>
      </c>
      <c r="L111" s="103" t="e">
        <f t="shared" ca="1" si="23"/>
        <v>#REF!</v>
      </c>
      <c r="M111" s="103" t="e">
        <f t="shared" ca="1" si="24"/>
        <v>#REF!</v>
      </c>
      <c r="N111" s="104" t="e">
        <f t="shared" ca="1" si="25"/>
        <v>#REF!</v>
      </c>
    </row>
    <row r="112" spans="1:14">
      <c r="A112" s="96">
        <v>74</v>
      </c>
      <c r="B112" s="102" t="e">
        <f t="shared" ca="1" si="13"/>
        <v>#REF!</v>
      </c>
      <c r="C112" s="102" t="e">
        <f t="shared" ca="1" si="14"/>
        <v>#REF!</v>
      </c>
      <c r="D112" s="102" t="e">
        <f t="shared" ca="1" si="15"/>
        <v>#REF!</v>
      </c>
      <c r="E112" s="102" t="e">
        <f t="shared" ca="1" si="16"/>
        <v>#REF!</v>
      </c>
      <c r="F112" s="102" t="e">
        <f t="shared" ca="1" si="17"/>
        <v>#REF!</v>
      </c>
      <c r="G112" s="103">
        <f t="shared" ca="1" si="18"/>
        <v>0.447564670926348</v>
      </c>
      <c r="H112" s="103">
        <f t="shared" ca="1" si="19"/>
        <v>0.20597892422067235</v>
      </c>
      <c r="I112" s="103" t="e">
        <f t="shared" ca="1" si="20"/>
        <v>#REF!</v>
      </c>
      <c r="J112" s="103" t="e">
        <f t="shared" ca="1" si="21"/>
        <v>#REF!</v>
      </c>
      <c r="K112" s="103" t="e">
        <f t="shared" ca="1" si="22"/>
        <v>#REF!</v>
      </c>
      <c r="L112" s="103" t="e">
        <f t="shared" ca="1" si="23"/>
        <v>#REF!</v>
      </c>
      <c r="M112" s="103" t="e">
        <f t="shared" ca="1" si="24"/>
        <v>#REF!</v>
      </c>
      <c r="N112" s="104" t="e">
        <f t="shared" ca="1" si="25"/>
        <v>#REF!</v>
      </c>
    </row>
    <row r="113" spans="1:14">
      <c r="A113" s="95">
        <v>75</v>
      </c>
      <c r="B113" s="102" t="e">
        <f t="shared" ca="1" si="13"/>
        <v>#REF!</v>
      </c>
      <c r="C113" s="102" t="e">
        <f t="shared" ca="1" si="14"/>
        <v>#REF!</v>
      </c>
      <c r="D113" s="102" t="e">
        <f t="shared" ca="1" si="15"/>
        <v>#REF!</v>
      </c>
      <c r="E113" s="102" t="e">
        <f t="shared" ca="1" si="16"/>
        <v>#REF!</v>
      </c>
      <c r="F113" s="102" t="e">
        <f t="shared" ca="1" si="17"/>
        <v>#REF!</v>
      </c>
      <c r="G113" s="103">
        <f t="shared" ca="1" si="18"/>
        <v>0.4408755278247401</v>
      </c>
      <c r="H113" s="103">
        <f t="shared" ca="1" si="19"/>
        <v>0.19235851621904826</v>
      </c>
      <c r="I113" s="103" t="e">
        <f t="shared" ca="1" si="20"/>
        <v>#REF!</v>
      </c>
      <c r="J113" s="103" t="e">
        <f t="shared" ca="1" si="21"/>
        <v>#REF!</v>
      </c>
      <c r="K113" s="103" t="e">
        <f t="shared" ca="1" si="22"/>
        <v>#REF!</v>
      </c>
      <c r="L113" s="103" t="e">
        <f t="shared" ca="1" si="23"/>
        <v>#REF!</v>
      </c>
      <c r="M113" s="103" t="e">
        <f t="shared" ca="1" si="24"/>
        <v>#REF!</v>
      </c>
      <c r="N113" s="104" t="e">
        <f t="shared" ca="1" si="25"/>
        <v>#REF!</v>
      </c>
    </row>
    <row r="114" spans="1:14">
      <c r="A114" s="96">
        <v>76</v>
      </c>
      <c r="B114" s="102" t="e">
        <f t="shared" ca="1" si="13"/>
        <v>#REF!</v>
      </c>
      <c r="C114" s="102" t="e">
        <f t="shared" ca="1" si="14"/>
        <v>#REF!</v>
      </c>
      <c r="D114" s="102" t="e">
        <f t="shared" ca="1" si="15"/>
        <v>#REF!</v>
      </c>
      <c r="E114" s="102" t="e">
        <f t="shared" ca="1" si="16"/>
        <v>#REF!</v>
      </c>
      <c r="F114" s="102" t="e">
        <f t="shared" ca="1" si="17"/>
        <v>#REF!</v>
      </c>
      <c r="G114" s="103">
        <f t="shared" ca="1" si="18"/>
        <v>0.47062666215902965</v>
      </c>
      <c r="H114" s="103">
        <f t="shared" ca="1" si="19"/>
        <v>0.21164946314222777</v>
      </c>
      <c r="I114" s="103" t="e">
        <f t="shared" ca="1" si="20"/>
        <v>#REF!</v>
      </c>
      <c r="J114" s="103" t="e">
        <f t="shared" ca="1" si="21"/>
        <v>#REF!</v>
      </c>
      <c r="K114" s="103" t="e">
        <f t="shared" ca="1" si="22"/>
        <v>#REF!</v>
      </c>
      <c r="L114" s="103" t="e">
        <f t="shared" ca="1" si="23"/>
        <v>#REF!</v>
      </c>
      <c r="M114" s="103" t="e">
        <f t="shared" ca="1" si="24"/>
        <v>#REF!</v>
      </c>
      <c r="N114" s="104" t="e">
        <f t="shared" ca="1" si="25"/>
        <v>#REF!</v>
      </c>
    </row>
    <row r="115" spans="1:14">
      <c r="A115" s="95">
        <v>77</v>
      </c>
      <c r="B115" s="102" t="e">
        <f t="shared" ca="1" si="13"/>
        <v>#REF!</v>
      </c>
      <c r="C115" s="102" t="e">
        <f t="shared" ca="1" si="14"/>
        <v>#REF!</v>
      </c>
      <c r="D115" s="102" t="e">
        <f t="shared" ca="1" si="15"/>
        <v>#REF!</v>
      </c>
      <c r="E115" s="102" t="e">
        <f t="shared" ca="1" si="16"/>
        <v>#REF!</v>
      </c>
      <c r="F115" s="102" t="e">
        <f t="shared" ca="1" si="17"/>
        <v>#REF!</v>
      </c>
      <c r="G115" s="103">
        <f t="shared" ca="1" si="18"/>
        <v>0.49548629738791145</v>
      </c>
      <c r="H115" s="103">
        <f t="shared" ca="1" si="19"/>
        <v>0.19867573075983264</v>
      </c>
      <c r="I115" s="103" t="e">
        <f t="shared" ca="1" si="20"/>
        <v>#REF!</v>
      </c>
      <c r="J115" s="103" t="e">
        <f t="shared" ca="1" si="21"/>
        <v>#REF!</v>
      </c>
      <c r="K115" s="103" t="e">
        <f t="shared" ca="1" si="22"/>
        <v>#REF!</v>
      </c>
      <c r="L115" s="103" t="e">
        <f t="shared" ca="1" si="23"/>
        <v>#REF!</v>
      </c>
      <c r="M115" s="103" t="e">
        <f t="shared" ca="1" si="24"/>
        <v>#REF!</v>
      </c>
      <c r="N115" s="104" t="e">
        <f t="shared" ca="1" si="25"/>
        <v>#REF!</v>
      </c>
    </row>
    <row r="116" spans="1:14">
      <c r="A116" s="96">
        <v>78</v>
      </c>
      <c r="B116" s="102" t="e">
        <f t="shared" ca="1" si="13"/>
        <v>#REF!</v>
      </c>
      <c r="C116" s="102" t="e">
        <f t="shared" ca="1" si="14"/>
        <v>#REF!</v>
      </c>
      <c r="D116" s="102" t="e">
        <f t="shared" ca="1" si="15"/>
        <v>#REF!</v>
      </c>
      <c r="E116" s="102" t="e">
        <f t="shared" ca="1" si="16"/>
        <v>#REF!</v>
      </c>
      <c r="F116" s="102" t="e">
        <f t="shared" ca="1" si="17"/>
        <v>#REF!</v>
      </c>
      <c r="G116" s="103">
        <f t="shared" ca="1" si="18"/>
        <v>0.39130310657104717</v>
      </c>
      <c r="H116" s="103">
        <f t="shared" ca="1" si="19"/>
        <v>0.20826887530375832</v>
      </c>
      <c r="I116" s="103" t="e">
        <f t="shared" ca="1" si="20"/>
        <v>#REF!</v>
      </c>
      <c r="J116" s="103" t="e">
        <f t="shared" ca="1" si="21"/>
        <v>#REF!</v>
      </c>
      <c r="K116" s="103" t="e">
        <f t="shared" ca="1" si="22"/>
        <v>#REF!</v>
      </c>
      <c r="L116" s="103" t="e">
        <f t="shared" ca="1" si="23"/>
        <v>#REF!</v>
      </c>
      <c r="M116" s="103" t="e">
        <f t="shared" ca="1" si="24"/>
        <v>#REF!</v>
      </c>
      <c r="N116" s="104" t="e">
        <f t="shared" ca="1" si="25"/>
        <v>#REF!</v>
      </c>
    </row>
    <row r="117" spans="1:14">
      <c r="A117" s="95">
        <v>79</v>
      </c>
      <c r="B117" s="102" t="e">
        <f t="shared" ca="1" si="13"/>
        <v>#REF!</v>
      </c>
      <c r="C117" s="102" t="e">
        <f t="shared" ca="1" si="14"/>
        <v>#REF!</v>
      </c>
      <c r="D117" s="102" t="e">
        <f t="shared" ca="1" si="15"/>
        <v>#REF!</v>
      </c>
      <c r="E117" s="102" t="e">
        <f t="shared" ca="1" si="16"/>
        <v>#REF!</v>
      </c>
      <c r="F117" s="102" t="e">
        <f t="shared" ca="1" si="17"/>
        <v>#REF!</v>
      </c>
      <c r="G117" s="103">
        <f t="shared" ca="1" si="18"/>
        <v>0.44762551627530811</v>
      </c>
      <c r="H117" s="103">
        <f t="shared" ca="1" si="19"/>
        <v>0.19060199073333842</v>
      </c>
      <c r="I117" s="103" t="e">
        <f t="shared" ca="1" si="20"/>
        <v>#REF!</v>
      </c>
      <c r="J117" s="103" t="e">
        <f t="shared" ca="1" si="21"/>
        <v>#REF!</v>
      </c>
      <c r="K117" s="103" t="e">
        <f t="shared" ca="1" si="22"/>
        <v>#REF!</v>
      </c>
      <c r="L117" s="103" t="e">
        <f t="shared" ca="1" si="23"/>
        <v>#REF!</v>
      </c>
      <c r="M117" s="103" t="e">
        <f t="shared" ca="1" si="24"/>
        <v>#REF!</v>
      </c>
      <c r="N117" s="104" t="e">
        <f t="shared" ca="1" si="25"/>
        <v>#REF!</v>
      </c>
    </row>
    <row r="118" spans="1:14">
      <c r="A118" s="96">
        <v>80</v>
      </c>
      <c r="B118" s="102" t="e">
        <f t="shared" ca="1" si="13"/>
        <v>#REF!</v>
      </c>
      <c r="C118" s="102" t="e">
        <f t="shared" ca="1" si="14"/>
        <v>#REF!</v>
      </c>
      <c r="D118" s="102" t="e">
        <f t="shared" ca="1" si="15"/>
        <v>#REF!</v>
      </c>
      <c r="E118" s="102" t="e">
        <f t="shared" ca="1" si="16"/>
        <v>#REF!</v>
      </c>
      <c r="F118" s="102" t="e">
        <f t="shared" ca="1" si="17"/>
        <v>#REF!</v>
      </c>
      <c r="G118" s="103">
        <f t="shared" ca="1" si="18"/>
        <v>0.42232734182940873</v>
      </c>
      <c r="H118" s="103">
        <f t="shared" ca="1" si="19"/>
        <v>0.19240282117228874</v>
      </c>
      <c r="I118" s="103" t="e">
        <f t="shared" ca="1" si="20"/>
        <v>#REF!</v>
      </c>
      <c r="J118" s="103" t="e">
        <f t="shared" ca="1" si="21"/>
        <v>#REF!</v>
      </c>
      <c r="K118" s="103" t="e">
        <f t="shared" ca="1" si="22"/>
        <v>#REF!</v>
      </c>
      <c r="L118" s="103" t="e">
        <f t="shared" ca="1" si="23"/>
        <v>#REF!</v>
      </c>
      <c r="M118" s="103" t="e">
        <f t="shared" ca="1" si="24"/>
        <v>#REF!</v>
      </c>
      <c r="N118" s="104" t="e">
        <f t="shared" ca="1" si="25"/>
        <v>#REF!</v>
      </c>
    </row>
    <row r="119" spans="1:14">
      <c r="A119" s="95">
        <v>81</v>
      </c>
      <c r="B119" s="102" t="e">
        <f t="shared" ca="1" si="13"/>
        <v>#REF!</v>
      </c>
      <c r="C119" s="102" t="e">
        <f t="shared" ca="1" si="14"/>
        <v>#REF!</v>
      </c>
      <c r="D119" s="102" t="e">
        <f t="shared" ca="1" si="15"/>
        <v>#REF!</v>
      </c>
      <c r="E119" s="102" t="e">
        <f t="shared" ca="1" si="16"/>
        <v>#REF!</v>
      </c>
      <c r="F119" s="102" t="e">
        <f t="shared" ca="1" si="17"/>
        <v>#REF!</v>
      </c>
      <c r="G119" s="103">
        <f t="shared" ca="1" si="18"/>
        <v>0.4622946005003471</v>
      </c>
      <c r="H119" s="103">
        <f t="shared" ca="1" si="19"/>
        <v>0.2086043591355419</v>
      </c>
      <c r="I119" s="103" t="e">
        <f t="shared" ca="1" si="20"/>
        <v>#REF!</v>
      </c>
      <c r="J119" s="103" t="e">
        <f t="shared" ca="1" si="21"/>
        <v>#REF!</v>
      </c>
      <c r="K119" s="103" t="e">
        <f t="shared" ca="1" si="22"/>
        <v>#REF!</v>
      </c>
      <c r="L119" s="103" t="e">
        <f t="shared" ca="1" si="23"/>
        <v>#REF!</v>
      </c>
      <c r="M119" s="103" t="e">
        <f t="shared" ca="1" si="24"/>
        <v>#REF!</v>
      </c>
      <c r="N119" s="104" t="e">
        <f t="shared" ca="1" si="25"/>
        <v>#REF!</v>
      </c>
    </row>
    <row r="120" spans="1:14">
      <c r="A120" s="96">
        <v>82</v>
      </c>
      <c r="B120" s="102" t="e">
        <f t="shared" ca="1" si="13"/>
        <v>#REF!</v>
      </c>
      <c r="C120" s="102" t="e">
        <f t="shared" ca="1" si="14"/>
        <v>#REF!</v>
      </c>
      <c r="D120" s="102" t="e">
        <f t="shared" ca="1" si="15"/>
        <v>#REF!</v>
      </c>
      <c r="E120" s="102" t="e">
        <f t="shared" ca="1" si="16"/>
        <v>#REF!</v>
      </c>
      <c r="F120" s="102" t="e">
        <f t="shared" ca="1" si="17"/>
        <v>#REF!</v>
      </c>
      <c r="G120" s="103">
        <f t="shared" ca="1" si="18"/>
        <v>0.47240304338641526</v>
      </c>
      <c r="H120" s="103">
        <f t="shared" ca="1" si="19"/>
        <v>0.22758159912860526</v>
      </c>
      <c r="I120" s="103" t="e">
        <f t="shared" ca="1" si="20"/>
        <v>#REF!</v>
      </c>
      <c r="J120" s="103" t="e">
        <f t="shared" ca="1" si="21"/>
        <v>#REF!</v>
      </c>
      <c r="K120" s="103" t="e">
        <f t="shared" ca="1" si="22"/>
        <v>#REF!</v>
      </c>
      <c r="L120" s="103" t="e">
        <f t="shared" ca="1" si="23"/>
        <v>#REF!</v>
      </c>
      <c r="M120" s="103" t="e">
        <f t="shared" ca="1" si="24"/>
        <v>#REF!</v>
      </c>
      <c r="N120" s="104" t="e">
        <f t="shared" ca="1" si="25"/>
        <v>#REF!</v>
      </c>
    </row>
    <row r="121" spans="1:14">
      <c r="A121" s="95">
        <v>83</v>
      </c>
      <c r="B121" s="102" t="e">
        <f t="shared" ca="1" si="13"/>
        <v>#REF!</v>
      </c>
      <c r="C121" s="102" t="e">
        <f t="shared" ca="1" si="14"/>
        <v>#REF!</v>
      </c>
      <c r="D121" s="102" t="e">
        <f t="shared" ca="1" si="15"/>
        <v>#REF!</v>
      </c>
      <c r="E121" s="102" t="e">
        <f t="shared" ca="1" si="16"/>
        <v>#REF!</v>
      </c>
      <c r="F121" s="102" t="e">
        <f t="shared" ca="1" si="17"/>
        <v>#REF!</v>
      </c>
      <c r="G121" s="103">
        <f t="shared" ca="1" si="18"/>
        <v>0.4287263696384897</v>
      </c>
      <c r="H121" s="103">
        <f t="shared" ca="1" si="19"/>
        <v>0.20344917804138291</v>
      </c>
      <c r="I121" s="103" t="e">
        <f t="shared" ca="1" si="20"/>
        <v>#REF!</v>
      </c>
      <c r="J121" s="103" t="e">
        <f t="shared" ca="1" si="21"/>
        <v>#REF!</v>
      </c>
      <c r="K121" s="103" t="e">
        <f t="shared" ca="1" si="22"/>
        <v>#REF!</v>
      </c>
      <c r="L121" s="103" t="e">
        <f t="shared" ca="1" si="23"/>
        <v>#REF!</v>
      </c>
      <c r="M121" s="103" t="e">
        <f t="shared" ca="1" si="24"/>
        <v>#REF!</v>
      </c>
      <c r="N121" s="104" t="e">
        <f t="shared" ca="1" si="25"/>
        <v>#REF!</v>
      </c>
    </row>
    <row r="122" spans="1:14">
      <c r="A122" s="96">
        <v>84</v>
      </c>
      <c r="B122" s="102" t="e">
        <f t="shared" ca="1" si="13"/>
        <v>#REF!</v>
      </c>
      <c r="C122" s="102" t="e">
        <f t="shared" ca="1" si="14"/>
        <v>#REF!</v>
      </c>
      <c r="D122" s="102" t="e">
        <f t="shared" ca="1" si="15"/>
        <v>#REF!</v>
      </c>
      <c r="E122" s="102" t="e">
        <f t="shared" ca="1" si="16"/>
        <v>#REF!</v>
      </c>
      <c r="F122" s="102" t="e">
        <f t="shared" ca="1" si="17"/>
        <v>#REF!</v>
      </c>
      <c r="G122" s="103">
        <f t="shared" ca="1" si="18"/>
        <v>0.43987458348284741</v>
      </c>
      <c r="H122" s="103">
        <f t="shared" ca="1" si="19"/>
        <v>0.2012781518444704</v>
      </c>
      <c r="I122" s="103" t="e">
        <f t="shared" ca="1" si="20"/>
        <v>#REF!</v>
      </c>
      <c r="J122" s="103" t="e">
        <f t="shared" ca="1" si="21"/>
        <v>#REF!</v>
      </c>
      <c r="K122" s="103" t="e">
        <f t="shared" ca="1" si="22"/>
        <v>#REF!</v>
      </c>
      <c r="L122" s="103" t="e">
        <f t="shared" ca="1" si="23"/>
        <v>#REF!</v>
      </c>
      <c r="M122" s="103" t="e">
        <f t="shared" ca="1" si="24"/>
        <v>#REF!</v>
      </c>
      <c r="N122" s="104" t="e">
        <f t="shared" ca="1" si="25"/>
        <v>#REF!</v>
      </c>
    </row>
    <row r="123" spans="1:14">
      <c r="A123" s="95">
        <v>85</v>
      </c>
      <c r="B123" s="102" t="e">
        <f t="shared" ca="1" si="13"/>
        <v>#REF!</v>
      </c>
      <c r="C123" s="102" t="e">
        <f t="shared" ca="1" si="14"/>
        <v>#REF!</v>
      </c>
      <c r="D123" s="102" t="e">
        <f t="shared" ca="1" si="15"/>
        <v>#REF!</v>
      </c>
      <c r="E123" s="102" t="e">
        <f t="shared" ca="1" si="16"/>
        <v>#REF!</v>
      </c>
      <c r="F123" s="102" t="e">
        <f t="shared" ca="1" si="17"/>
        <v>#REF!</v>
      </c>
      <c r="G123" s="103">
        <f t="shared" ca="1" si="18"/>
        <v>0.4800470304711596</v>
      </c>
      <c r="H123" s="103">
        <f t="shared" ca="1" si="19"/>
        <v>0.18121070011281931</v>
      </c>
      <c r="I123" s="103" t="e">
        <f t="shared" ca="1" si="20"/>
        <v>#REF!</v>
      </c>
      <c r="J123" s="103" t="e">
        <f t="shared" ca="1" si="21"/>
        <v>#REF!</v>
      </c>
      <c r="K123" s="103" t="e">
        <f t="shared" ca="1" si="22"/>
        <v>#REF!</v>
      </c>
      <c r="L123" s="103" t="e">
        <f t="shared" ca="1" si="23"/>
        <v>#REF!</v>
      </c>
      <c r="M123" s="103" t="e">
        <f t="shared" ca="1" si="24"/>
        <v>#REF!</v>
      </c>
      <c r="N123" s="104" t="e">
        <f t="shared" ca="1" si="25"/>
        <v>#REF!</v>
      </c>
    </row>
    <row r="124" spans="1:14">
      <c r="A124" s="96">
        <v>86</v>
      </c>
      <c r="B124" s="102" t="e">
        <f t="shared" ca="1" si="13"/>
        <v>#REF!</v>
      </c>
      <c r="C124" s="102" t="e">
        <f t="shared" ca="1" si="14"/>
        <v>#REF!</v>
      </c>
      <c r="D124" s="102" t="e">
        <f t="shared" ca="1" si="15"/>
        <v>#REF!</v>
      </c>
      <c r="E124" s="102" t="e">
        <f t="shared" ca="1" si="16"/>
        <v>#REF!</v>
      </c>
      <c r="F124" s="102" t="e">
        <f t="shared" ca="1" si="17"/>
        <v>#REF!</v>
      </c>
      <c r="G124" s="103">
        <f t="shared" ca="1" si="18"/>
        <v>0.44590798510739305</v>
      </c>
      <c r="H124" s="103">
        <f t="shared" ca="1" si="19"/>
        <v>0.20328002346601232</v>
      </c>
      <c r="I124" s="103" t="e">
        <f t="shared" ca="1" si="20"/>
        <v>#REF!</v>
      </c>
      <c r="J124" s="103" t="e">
        <f t="shared" ca="1" si="21"/>
        <v>#REF!</v>
      </c>
      <c r="K124" s="103" t="e">
        <f t="shared" ca="1" si="22"/>
        <v>#REF!</v>
      </c>
      <c r="L124" s="103" t="e">
        <f t="shared" ca="1" si="23"/>
        <v>#REF!</v>
      </c>
      <c r="M124" s="103" t="e">
        <f t="shared" ca="1" si="24"/>
        <v>#REF!</v>
      </c>
      <c r="N124" s="104" t="e">
        <f t="shared" ca="1" si="25"/>
        <v>#REF!</v>
      </c>
    </row>
    <row r="125" spans="1:14">
      <c r="A125" s="95">
        <v>87</v>
      </c>
      <c r="B125" s="102" t="e">
        <f t="shared" ca="1" si="13"/>
        <v>#REF!</v>
      </c>
      <c r="C125" s="102" t="e">
        <f t="shared" ca="1" si="14"/>
        <v>#REF!</v>
      </c>
      <c r="D125" s="102" t="e">
        <f t="shared" ca="1" si="15"/>
        <v>#REF!</v>
      </c>
      <c r="E125" s="102" t="e">
        <f t="shared" ca="1" si="16"/>
        <v>#REF!</v>
      </c>
      <c r="F125" s="102" t="e">
        <f t="shared" ca="1" si="17"/>
        <v>#REF!</v>
      </c>
      <c r="G125" s="103">
        <f t="shared" ca="1" si="18"/>
        <v>0.40544674961006233</v>
      </c>
      <c r="H125" s="103">
        <f t="shared" ca="1" si="19"/>
        <v>0.22207350182883073</v>
      </c>
      <c r="I125" s="103" t="e">
        <f t="shared" ca="1" si="20"/>
        <v>#REF!</v>
      </c>
      <c r="J125" s="103" t="e">
        <f t="shared" ca="1" si="21"/>
        <v>#REF!</v>
      </c>
      <c r="K125" s="103" t="e">
        <f t="shared" ca="1" si="22"/>
        <v>#REF!</v>
      </c>
      <c r="L125" s="103" t="e">
        <f t="shared" ca="1" si="23"/>
        <v>#REF!</v>
      </c>
      <c r="M125" s="103" t="e">
        <f t="shared" ca="1" si="24"/>
        <v>#REF!</v>
      </c>
      <c r="N125" s="104" t="e">
        <f t="shared" ca="1" si="25"/>
        <v>#REF!</v>
      </c>
    </row>
    <row r="126" spans="1:14">
      <c r="A126" s="96">
        <v>88</v>
      </c>
      <c r="B126" s="102" t="e">
        <f t="shared" ca="1" si="13"/>
        <v>#REF!</v>
      </c>
      <c r="C126" s="102" t="e">
        <f t="shared" ca="1" si="14"/>
        <v>#REF!</v>
      </c>
      <c r="D126" s="102" t="e">
        <f t="shared" ca="1" si="15"/>
        <v>#REF!</v>
      </c>
      <c r="E126" s="102" t="e">
        <f t="shared" ca="1" si="16"/>
        <v>#REF!</v>
      </c>
      <c r="F126" s="102" t="e">
        <f t="shared" ca="1" si="17"/>
        <v>#REF!</v>
      </c>
      <c r="G126" s="103">
        <f t="shared" ca="1" si="18"/>
        <v>0.42875924165837342</v>
      </c>
      <c r="H126" s="103">
        <f t="shared" ca="1" si="19"/>
        <v>0.21283036100725411</v>
      </c>
      <c r="I126" s="103" t="e">
        <f t="shared" ca="1" si="20"/>
        <v>#REF!</v>
      </c>
      <c r="J126" s="103" t="e">
        <f t="shared" ca="1" si="21"/>
        <v>#REF!</v>
      </c>
      <c r="K126" s="103" t="e">
        <f t="shared" ca="1" si="22"/>
        <v>#REF!</v>
      </c>
      <c r="L126" s="103" t="e">
        <f t="shared" ca="1" si="23"/>
        <v>#REF!</v>
      </c>
      <c r="M126" s="103" t="e">
        <f t="shared" ca="1" si="24"/>
        <v>#REF!</v>
      </c>
      <c r="N126" s="104" t="e">
        <f t="shared" ca="1" si="25"/>
        <v>#REF!</v>
      </c>
    </row>
    <row r="127" spans="1:14">
      <c r="A127" s="95">
        <v>89</v>
      </c>
      <c r="B127" s="102" t="e">
        <f t="shared" ca="1" si="13"/>
        <v>#REF!</v>
      </c>
      <c r="C127" s="102" t="e">
        <f t="shared" ca="1" si="14"/>
        <v>#REF!</v>
      </c>
      <c r="D127" s="102" t="e">
        <f t="shared" ca="1" si="15"/>
        <v>#REF!</v>
      </c>
      <c r="E127" s="102" t="e">
        <f t="shared" ca="1" si="16"/>
        <v>#REF!</v>
      </c>
      <c r="F127" s="102" t="e">
        <f t="shared" ca="1" si="17"/>
        <v>#REF!</v>
      </c>
      <c r="G127" s="103">
        <f t="shared" ca="1" si="18"/>
        <v>0.37831200620370475</v>
      </c>
      <c r="H127" s="103">
        <f t="shared" ca="1" si="19"/>
        <v>0.20930040687504739</v>
      </c>
      <c r="I127" s="103" t="e">
        <f t="shared" ca="1" si="20"/>
        <v>#REF!</v>
      </c>
      <c r="J127" s="103" t="e">
        <f t="shared" ca="1" si="21"/>
        <v>#REF!</v>
      </c>
      <c r="K127" s="103" t="e">
        <f t="shared" ca="1" si="22"/>
        <v>#REF!</v>
      </c>
      <c r="L127" s="103" t="e">
        <f t="shared" ca="1" si="23"/>
        <v>#REF!</v>
      </c>
      <c r="M127" s="103" t="e">
        <f t="shared" ca="1" si="24"/>
        <v>#REF!</v>
      </c>
      <c r="N127" s="104" t="e">
        <f t="shared" ca="1" si="25"/>
        <v>#REF!</v>
      </c>
    </row>
    <row r="128" spans="1:14">
      <c r="A128" s="96">
        <v>90</v>
      </c>
      <c r="B128" s="102" t="e">
        <f t="shared" ca="1" si="13"/>
        <v>#REF!</v>
      </c>
      <c r="C128" s="102" t="e">
        <f t="shared" ca="1" si="14"/>
        <v>#REF!</v>
      </c>
      <c r="D128" s="102" t="e">
        <f t="shared" ca="1" si="15"/>
        <v>#REF!</v>
      </c>
      <c r="E128" s="102" t="e">
        <f t="shared" ca="1" si="16"/>
        <v>#REF!</v>
      </c>
      <c r="F128" s="102" t="e">
        <f t="shared" ca="1" si="17"/>
        <v>#REF!</v>
      </c>
      <c r="G128" s="103">
        <f t="shared" ca="1" si="18"/>
        <v>0.43056440971841325</v>
      </c>
      <c r="H128" s="103">
        <f t="shared" ca="1" si="19"/>
        <v>0.20364441674272318</v>
      </c>
      <c r="I128" s="103" t="e">
        <f t="shared" ca="1" si="20"/>
        <v>#REF!</v>
      </c>
      <c r="J128" s="103" t="e">
        <f t="shared" ca="1" si="21"/>
        <v>#REF!</v>
      </c>
      <c r="K128" s="103" t="e">
        <f t="shared" ca="1" si="22"/>
        <v>#REF!</v>
      </c>
      <c r="L128" s="103" t="e">
        <f t="shared" ca="1" si="23"/>
        <v>#REF!</v>
      </c>
      <c r="M128" s="103" t="e">
        <f t="shared" ca="1" si="24"/>
        <v>#REF!</v>
      </c>
      <c r="N128" s="104" t="e">
        <f t="shared" ca="1" si="25"/>
        <v>#REF!</v>
      </c>
    </row>
    <row r="129" spans="1:14">
      <c r="A129" s="95">
        <v>91</v>
      </c>
      <c r="B129" s="102" t="e">
        <f t="shared" ca="1" si="13"/>
        <v>#REF!</v>
      </c>
      <c r="C129" s="102" t="e">
        <f t="shared" ca="1" si="14"/>
        <v>#REF!</v>
      </c>
      <c r="D129" s="102" t="e">
        <f t="shared" ca="1" si="15"/>
        <v>#REF!</v>
      </c>
      <c r="E129" s="102" t="e">
        <f t="shared" ca="1" si="16"/>
        <v>#REF!</v>
      </c>
      <c r="F129" s="102" t="e">
        <f t="shared" ca="1" si="17"/>
        <v>#REF!</v>
      </c>
      <c r="G129" s="103">
        <f t="shared" ca="1" si="18"/>
        <v>0.45818748987112673</v>
      </c>
      <c r="H129" s="103">
        <f t="shared" ca="1" si="19"/>
        <v>0.20858734043030547</v>
      </c>
      <c r="I129" s="103" t="e">
        <f t="shared" ca="1" si="20"/>
        <v>#REF!</v>
      </c>
      <c r="J129" s="103" t="e">
        <f t="shared" ca="1" si="21"/>
        <v>#REF!</v>
      </c>
      <c r="K129" s="103" t="e">
        <f t="shared" ca="1" si="22"/>
        <v>#REF!</v>
      </c>
      <c r="L129" s="103" t="e">
        <f t="shared" ca="1" si="23"/>
        <v>#REF!</v>
      </c>
      <c r="M129" s="103" t="e">
        <f t="shared" ca="1" si="24"/>
        <v>#REF!</v>
      </c>
      <c r="N129" s="104" t="e">
        <f t="shared" ca="1" si="25"/>
        <v>#REF!</v>
      </c>
    </row>
    <row r="130" spans="1:14">
      <c r="A130" s="96">
        <v>92</v>
      </c>
      <c r="B130" s="102" t="e">
        <f t="shared" ca="1" si="13"/>
        <v>#REF!</v>
      </c>
      <c r="C130" s="102" t="e">
        <f t="shared" ca="1" si="14"/>
        <v>#REF!</v>
      </c>
      <c r="D130" s="102" t="e">
        <f t="shared" ca="1" si="15"/>
        <v>#REF!</v>
      </c>
      <c r="E130" s="102" t="e">
        <f t="shared" ca="1" si="16"/>
        <v>#REF!</v>
      </c>
      <c r="F130" s="102" t="e">
        <f t="shared" ca="1" si="17"/>
        <v>#REF!</v>
      </c>
      <c r="G130" s="103">
        <f t="shared" ca="1" si="18"/>
        <v>0.41444408621641549</v>
      </c>
      <c r="H130" s="103">
        <f t="shared" ca="1" si="19"/>
        <v>0.21200383373600953</v>
      </c>
      <c r="I130" s="103" t="e">
        <f t="shared" ca="1" si="20"/>
        <v>#REF!</v>
      </c>
      <c r="J130" s="103" t="e">
        <f t="shared" ca="1" si="21"/>
        <v>#REF!</v>
      </c>
      <c r="K130" s="103" t="e">
        <f t="shared" ca="1" si="22"/>
        <v>#REF!</v>
      </c>
      <c r="L130" s="103" t="e">
        <f t="shared" ca="1" si="23"/>
        <v>#REF!</v>
      </c>
      <c r="M130" s="103" t="e">
        <f t="shared" ca="1" si="24"/>
        <v>#REF!</v>
      </c>
      <c r="N130" s="104" t="e">
        <f t="shared" ca="1" si="25"/>
        <v>#REF!</v>
      </c>
    </row>
    <row r="131" spans="1:14">
      <c r="A131" s="95">
        <v>93</v>
      </c>
      <c r="B131" s="102" t="e">
        <f t="shared" ca="1" si="13"/>
        <v>#REF!</v>
      </c>
      <c r="C131" s="102" t="e">
        <f t="shared" ca="1" si="14"/>
        <v>#REF!</v>
      </c>
      <c r="D131" s="102" t="e">
        <f t="shared" ca="1" si="15"/>
        <v>#REF!</v>
      </c>
      <c r="E131" s="102" t="e">
        <f t="shared" ca="1" si="16"/>
        <v>#REF!</v>
      </c>
      <c r="F131" s="102" t="e">
        <f t="shared" ca="1" si="17"/>
        <v>#REF!</v>
      </c>
      <c r="G131" s="103">
        <f t="shared" ca="1" si="18"/>
        <v>0.40258491889599135</v>
      </c>
      <c r="H131" s="103">
        <f t="shared" ca="1" si="19"/>
        <v>0.18593598462835695</v>
      </c>
      <c r="I131" s="103" t="e">
        <f t="shared" ca="1" si="20"/>
        <v>#REF!</v>
      </c>
      <c r="J131" s="103" t="e">
        <f t="shared" ca="1" si="21"/>
        <v>#REF!</v>
      </c>
      <c r="K131" s="103" t="e">
        <f t="shared" ca="1" si="22"/>
        <v>#REF!</v>
      </c>
      <c r="L131" s="103" t="e">
        <f t="shared" ca="1" si="23"/>
        <v>#REF!</v>
      </c>
      <c r="M131" s="103" t="e">
        <f t="shared" ca="1" si="24"/>
        <v>#REF!</v>
      </c>
      <c r="N131" s="104" t="e">
        <f t="shared" ca="1" si="25"/>
        <v>#REF!</v>
      </c>
    </row>
    <row r="132" spans="1:14">
      <c r="A132" s="96">
        <v>94</v>
      </c>
      <c r="B132" s="102" t="e">
        <f t="shared" ca="1" si="13"/>
        <v>#REF!</v>
      </c>
      <c r="C132" s="102" t="e">
        <f t="shared" ca="1" si="14"/>
        <v>#REF!</v>
      </c>
      <c r="D132" s="102" t="e">
        <f t="shared" ca="1" si="15"/>
        <v>#REF!</v>
      </c>
      <c r="E132" s="102" t="e">
        <f t="shared" ca="1" si="16"/>
        <v>#REF!</v>
      </c>
      <c r="F132" s="102" t="e">
        <f t="shared" ca="1" si="17"/>
        <v>#REF!</v>
      </c>
      <c r="G132" s="103">
        <f t="shared" ca="1" si="18"/>
        <v>0.42305377251982446</v>
      </c>
      <c r="H132" s="103">
        <f t="shared" ca="1" si="19"/>
        <v>0.24232905957457637</v>
      </c>
      <c r="I132" s="103" t="e">
        <f t="shared" ca="1" si="20"/>
        <v>#REF!</v>
      </c>
      <c r="J132" s="103" t="e">
        <f t="shared" ca="1" si="21"/>
        <v>#REF!</v>
      </c>
      <c r="K132" s="103" t="e">
        <f t="shared" ca="1" si="22"/>
        <v>#REF!</v>
      </c>
      <c r="L132" s="103" t="e">
        <f t="shared" ca="1" si="23"/>
        <v>#REF!</v>
      </c>
      <c r="M132" s="103" t="e">
        <f t="shared" ca="1" si="24"/>
        <v>#REF!</v>
      </c>
      <c r="N132" s="104" t="e">
        <f t="shared" ca="1" si="25"/>
        <v>#REF!</v>
      </c>
    </row>
    <row r="133" spans="1:14">
      <c r="A133" s="95">
        <v>95</v>
      </c>
      <c r="B133" s="102" t="e">
        <f t="shared" ca="1" si="13"/>
        <v>#REF!</v>
      </c>
      <c r="C133" s="102" t="e">
        <f t="shared" ca="1" si="14"/>
        <v>#REF!</v>
      </c>
      <c r="D133" s="102" t="e">
        <f t="shared" ca="1" si="15"/>
        <v>#REF!</v>
      </c>
      <c r="E133" s="102" t="e">
        <f t="shared" ca="1" si="16"/>
        <v>#REF!</v>
      </c>
      <c r="F133" s="102" t="e">
        <f t="shared" ca="1" si="17"/>
        <v>#REF!</v>
      </c>
      <c r="G133" s="103">
        <f t="shared" ca="1" si="18"/>
        <v>0.46744675612699604</v>
      </c>
      <c r="H133" s="103">
        <f t="shared" ca="1" si="19"/>
        <v>0.1897110928849004</v>
      </c>
      <c r="I133" s="103" t="e">
        <f t="shared" ca="1" si="20"/>
        <v>#REF!</v>
      </c>
      <c r="J133" s="103" t="e">
        <f t="shared" ca="1" si="21"/>
        <v>#REF!</v>
      </c>
      <c r="K133" s="103" t="e">
        <f t="shared" ca="1" si="22"/>
        <v>#REF!</v>
      </c>
      <c r="L133" s="103" t="e">
        <f t="shared" ca="1" si="23"/>
        <v>#REF!</v>
      </c>
      <c r="M133" s="103" t="e">
        <f t="shared" ca="1" si="24"/>
        <v>#REF!</v>
      </c>
      <c r="N133" s="104" t="e">
        <f t="shared" ca="1" si="25"/>
        <v>#REF!</v>
      </c>
    </row>
    <row r="134" spans="1:14">
      <c r="A134" s="96">
        <v>96</v>
      </c>
      <c r="B134" s="102" t="e">
        <f t="shared" ca="1" si="13"/>
        <v>#REF!</v>
      </c>
      <c r="C134" s="102" t="e">
        <f t="shared" ca="1" si="14"/>
        <v>#REF!</v>
      </c>
      <c r="D134" s="102" t="e">
        <f t="shared" ca="1" si="15"/>
        <v>#REF!</v>
      </c>
      <c r="E134" s="102" t="e">
        <f t="shared" ca="1" si="16"/>
        <v>#REF!</v>
      </c>
      <c r="F134" s="102" t="e">
        <f t="shared" ca="1" si="17"/>
        <v>#REF!</v>
      </c>
      <c r="G134" s="103">
        <f t="shared" ca="1" si="18"/>
        <v>0.45294435515796766</v>
      </c>
      <c r="H134" s="103">
        <f t="shared" ca="1" si="19"/>
        <v>0.19935883359133608</v>
      </c>
      <c r="I134" s="103" t="e">
        <f t="shared" ca="1" si="20"/>
        <v>#REF!</v>
      </c>
      <c r="J134" s="103" t="e">
        <f t="shared" ca="1" si="21"/>
        <v>#REF!</v>
      </c>
      <c r="K134" s="103" t="e">
        <f t="shared" ca="1" si="22"/>
        <v>#REF!</v>
      </c>
      <c r="L134" s="103" t="e">
        <f t="shared" ca="1" si="23"/>
        <v>#REF!</v>
      </c>
      <c r="M134" s="103" t="e">
        <f t="shared" ca="1" si="24"/>
        <v>#REF!</v>
      </c>
      <c r="N134" s="104" t="e">
        <f t="shared" ca="1" si="25"/>
        <v>#REF!</v>
      </c>
    </row>
    <row r="135" spans="1:14">
      <c r="A135" s="95">
        <v>97</v>
      </c>
      <c r="B135" s="102" t="e">
        <f t="shared" ca="1" si="13"/>
        <v>#REF!</v>
      </c>
      <c r="C135" s="102" t="e">
        <f t="shared" ca="1" si="14"/>
        <v>#REF!</v>
      </c>
      <c r="D135" s="102" t="e">
        <f t="shared" ca="1" si="15"/>
        <v>#REF!</v>
      </c>
      <c r="E135" s="102" t="e">
        <f t="shared" ca="1" si="16"/>
        <v>#REF!</v>
      </c>
      <c r="F135" s="102" t="e">
        <f t="shared" ca="1" si="17"/>
        <v>#REF!</v>
      </c>
      <c r="G135" s="103">
        <f t="shared" ca="1" si="18"/>
        <v>0.44132624814185534</v>
      </c>
      <c r="H135" s="103">
        <f t="shared" ca="1" si="19"/>
        <v>0.19726646383643892</v>
      </c>
      <c r="I135" s="103" t="e">
        <f t="shared" ca="1" si="20"/>
        <v>#REF!</v>
      </c>
      <c r="J135" s="103" t="e">
        <f t="shared" ca="1" si="21"/>
        <v>#REF!</v>
      </c>
      <c r="K135" s="103" t="e">
        <f t="shared" ca="1" si="22"/>
        <v>#REF!</v>
      </c>
      <c r="L135" s="103" t="e">
        <f t="shared" ca="1" si="23"/>
        <v>#REF!</v>
      </c>
      <c r="M135" s="103" t="e">
        <f t="shared" ca="1" si="24"/>
        <v>#REF!</v>
      </c>
      <c r="N135" s="104" t="e">
        <f t="shared" ca="1" si="25"/>
        <v>#REF!</v>
      </c>
    </row>
    <row r="136" spans="1:14">
      <c r="A136" s="96">
        <v>98</v>
      </c>
      <c r="B136" s="102" t="e">
        <f t="shared" ca="1" si="13"/>
        <v>#REF!</v>
      </c>
      <c r="C136" s="102" t="e">
        <f t="shared" ca="1" si="14"/>
        <v>#REF!</v>
      </c>
      <c r="D136" s="102" t="e">
        <f t="shared" ca="1" si="15"/>
        <v>#REF!</v>
      </c>
      <c r="E136" s="102" t="e">
        <f t="shared" ca="1" si="16"/>
        <v>#REF!</v>
      </c>
      <c r="F136" s="102" t="e">
        <f t="shared" ca="1" si="17"/>
        <v>#REF!</v>
      </c>
      <c r="G136" s="103">
        <f t="shared" ca="1" si="18"/>
        <v>0.42074064613929302</v>
      </c>
      <c r="H136" s="103">
        <f t="shared" ca="1" si="19"/>
        <v>0.20617977846515242</v>
      </c>
      <c r="I136" s="103" t="e">
        <f t="shared" ca="1" si="20"/>
        <v>#REF!</v>
      </c>
      <c r="J136" s="103" t="e">
        <f t="shared" ca="1" si="21"/>
        <v>#REF!</v>
      </c>
      <c r="K136" s="103" t="e">
        <f t="shared" ca="1" si="22"/>
        <v>#REF!</v>
      </c>
      <c r="L136" s="103" t="e">
        <f t="shared" ca="1" si="23"/>
        <v>#REF!</v>
      </c>
      <c r="M136" s="103" t="e">
        <f t="shared" ca="1" si="24"/>
        <v>#REF!</v>
      </c>
      <c r="N136" s="104" t="e">
        <f t="shared" ca="1" si="25"/>
        <v>#REF!</v>
      </c>
    </row>
    <row r="137" spans="1:14">
      <c r="A137" s="95">
        <v>99</v>
      </c>
      <c r="B137" s="102" t="e">
        <f t="shared" ca="1" si="13"/>
        <v>#REF!</v>
      </c>
      <c r="C137" s="102" t="e">
        <f t="shared" ca="1" si="14"/>
        <v>#REF!</v>
      </c>
      <c r="D137" s="102" t="e">
        <f t="shared" ca="1" si="15"/>
        <v>#REF!</v>
      </c>
      <c r="E137" s="102" t="e">
        <f t="shared" ca="1" si="16"/>
        <v>#REF!</v>
      </c>
      <c r="F137" s="102" t="e">
        <f t="shared" ca="1" si="17"/>
        <v>#REF!</v>
      </c>
      <c r="G137" s="103">
        <f t="shared" ca="1" si="18"/>
        <v>0.45065097328496251</v>
      </c>
      <c r="H137" s="103">
        <f t="shared" ca="1" si="19"/>
        <v>0.19812040364157846</v>
      </c>
      <c r="I137" s="103" t="e">
        <f t="shared" ca="1" si="20"/>
        <v>#REF!</v>
      </c>
      <c r="J137" s="103" t="e">
        <f t="shared" ca="1" si="21"/>
        <v>#REF!</v>
      </c>
      <c r="K137" s="103" t="e">
        <f t="shared" ca="1" si="22"/>
        <v>#REF!</v>
      </c>
      <c r="L137" s="103" t="e">
        <f t="shared" ca="1" si="23"/>
        <v>#REF!</v>
      </c>
      <c r="M137" s="103" t="e">
        <f t="shared" ca="1" si="24"/>
        <v>#REF!</v>
      </c>
      <c r="N137" s="104" t="e">
        <f t="shared" ca="1" si="25"/>
        <v>#REF!</v>
      </c>
    </row>
    <row r="138" spans="1:14">
      <c r="A138" s="96">
        <v>100</v>
      </c>
      <c r="B138" s="102" t="e">
        <f t="shared" ca="1" si="13"/>
        <v>#REF!</v>
      </c>
      <c r="C138" s="102" t="e">
        <f t="shared" ca="1" si="14"/>
        <v>#REF!</v>
      </c>
      <c r="D138" s="102" t="e">
        <f t="shared" ca="1" si="15"/>
        <v>#REF!</v>
      </c>
      <c r="E138" s="102" t="e">
        <f t="shared" ca="1" si="16"/>
        <v>#REF!</v>
      </c>
      <c r="F138" s="102" t="e">
        <f t="shared" ca="1" si="17"/>
        <v>#REF!</v>
      </c>
      <c r="G138" s="103">
        <f t="shared" ca="1" si="18"/>
        <v>0.40949981763984616</v>
      </c>
      <c r="H138" s="103">
        <f t="shared" ca="1" si="19"/>
        <v>0.20821005543358126</v>
      </c>
      <c r="I138" s="103" t="e">
        <f t="shared" ca="1" si="20"/>
        <v>#REF!</v>
      </c>
      <c r="J138" s="103" t="e">
        <f t="shared" ca="1" si="21"/>
        <v>#REF!</v>
      </c>
      <c r="K138" s="103" t="e">
        <f t="shared" ca="1" si="22"/>
        <v>#REF!</v>
      </c>
      <c r="L138" s="103" t="e">
        <f t="shared" ca="1" si="23"/>
        <v>#REF!</v>
      </c>
      <c r="M138" s="103" t="e">
        <f t="shared" ca="1" si="24"/>
        <v>#REF!</v>
      </c>
      <c r="N138" s="104" t="e">
        <f t="shared" ca="1" si="25"/>
        <v>#REF!</v>
      </c>
    </row>
    <row r="139" spans="1:14">
      <c r="A139" s="95">
        <v>101</v>
      </c>
      <c r="B139" s="102" t="e">
        <f t="shared" ca="1" si="13"/>
        <v>#REF!</v>
      </c>
      <c r="C139" s="102" t="e">
        <f t="shared" ca="1" si="14"/>
        <v>#REF!</v>
      </c>
      <c r="D139" s="102" t="e">
        <f t="shared" ca="1" si="15"/>
        <v>#REF!</v>
      </c>
      <c r="E139" s="102" t="e">
        <f t="shared" ca="1" si="16"/>
        <v>#REF!</v>
      </c>
      <c r="F139" s="102" t="e">
        <f t="shared" ca="1" si="17"/>
        <v>#REF!</v>
      </c>
      <c r="G139" s="103">
        <f t="shared" ca="1" si="18"/>
        <v>0.42365658736114947</v>
      </c>
      <c r="H139" s="103">
        <f t="shared" ca="1" si="19"/>
        <v>0.22595263745491859</v>
      </c>
      <c r="I139" s="103" t="e">
        <f t="shared" ca="1" si="20"/>
        <v>#REF!</v>
      </c>
      <c r="J139" s="103" t="e">
        <f t="shared" ca="1" si="21"/>
        <v>#REF!</v>
      </c>
      <c r="K139" s="103" t="e">
        <f t="shared" ca="1" si="22"/>
        <v>#REF!</v>
      </c>
      <c r="L139" s="103" t="e">
        <f t="shared" ca="1" si="23"/>
        <v>#REF!</v>
      </c>
      <c r="M139" s="103" t="e">
        <f t="shared" ca="1" si="24"/>
        <v>#REF!</v>
      </c>
      <c r="N139" s="104" t="e">
        <f t="shared" ca="1" si="25"/>
        <v>#REF!</v>
      </c>
    </row>
    <row r="140" spans="1:14">
      <c r="A140" s="96">
        <v>102</v>
      </c>
      <c r="B140" s="102" t="e">
        <f t="shared" ca="1" si="13"/>
        <v>#REF!</v>
      </c>
      <c r="C140" s="102" t="e">
        <f t="shared" ca="1" si="14"/>
        <v>#REF!</v>
      </c>
      <c r="D140" s="102" t="e">
        <f t="shared" ca="1" si="15"/>
        <v>#REF!</v>
      </c>
      <c r="E140" s="102" t="e">
        <f t="shared" ca="1" si="16"/>
        <v>#REF!</v>
      </c>
      <c r="F140" s="102" t="e">
        <f t="shared" ca="1" si="17"/>
        <v>#REF!</v>
      </c>
      <c r="G140" s="103">
        <f t="shared" ca="1" si="18"/>
        <v>0.43145445424420437</v>
      </c>
      <c r="H140" s="103">
        <f t="shared" ca="1" si="19"/>
        <v>0.20680351463743213</v>
      </c>
      <c r="I140" s="103" t="e">
        <f t="shared" ca="1" si="20"/>
        <v>#REF!</v>
      </c>
      <c r="J140" s="103" t="e">
        <f t="shared" ca="1" si="21"/>
        <v>#REF!</v>
      </c>
      <c r="K140" s="103" t="e">
        <f t="shared" ca="1" si="22"/>
        <v>#REF!</v>
      </c>
      <c r="L140" s="103" t="e">
        <f t="shared" ca="1" si="23"/>
        <v>#REF!</v>
      </c>
      <c r="M140" s="103" t="e">
        <f t="shared" ca="1" si="24"/>
        <v>#REF!</v>
      </c>
      <c r="N140" s="104" t="e">
        <f t="shared" ca="1" si="25"/>
        <v>#REF!</v>
      </c>
    </row>
    <row r="141" spans="1:14">
      <c r="A141" s="95">
        <v>103</v>
      </c>
      <c r="B141" s="102" t="e">
        <f t="shared" ca="1" si="13"/>
        <v>#REF!</v>
      </c>
      <c r="C141" s="102" t="e">
        <f t="shared" ca="1" si="14"/>
        <v>#REF!</v>
      </c>
      <c r="D141" s="102" t="e">
        <f t="shared" ca="1" si="15"/>
        <v>#REF!</v>
      </c>
      <c r="E141" s="102" t="e">
        <f t="shared" ca="1" si="16"/>
        <v>#REF!</v>
      </c>
      <c r="F141" s="102" t="e">
        <f t="shared" ca="1" si="17"/>
        <v>#REF!</v>
      </c>
      <c r="G141" s="103">
        <f t="shared" ca="1" si="18"/>
        <v>0.41782167974532558</v>
      </c>
      <c r="H141" s="103">
        <f t="shared" ca="1" si="19"/>
        <v>0.19915968554187197</v>
      </c>
      <c r="I141" s="103" t="e">
        <f t="shared" ca="1" si="20"/>
        <v>#REF!</v>
      </c>
      <c r="J141" s="103" t="e">
        <f t="shared" ca="1" si="21"/>
        <v>#REF!</v>
      </c>
      <c r="K141" s="103" t="e">
        <f t="shared" ca="1" si="22"/>
        <v>#REF!</v>
      </c>
      <c r="L141" s="103" t="e">
        <f t="shared" ca="1" si="23"/>
        <v>#REF!</v>
      </c>
      <c r="M141" s="103" t="e">
        <f t="shared" ca="1" si="24"/>
        <v>#REF!</v>
      </c>
      <c r="N141" s="104" t="e">
        <f t="shared" ca="1" si="25"/>
        <v>#REF!</v>
      </c>
    </row>
    <row r="142" spans="1:14">
      <c r="A142" s="96">
        <v>104</v>
      </c>
      <c r="B142" s="102" t="e">
        <f t="shared" ca="1" si="13"/>
        <v>#REF!</v>
      </c>
      <c r="C142" s="102" t="e">
        <f t="shared" ca="1" si="14"/>
        <v>#REF!</v>
      </c>
      <c r="D142" s="102" t="e">
        <f t="shared" ca="1" si="15"/>
        <v>#REF!</v>
      </c>
      <c r="E142" s="102" t="e">
        <f t="shared" ca="1" si="16"/>
        <v>#REF!</v>
      </c>
      <c r="F142" s="102" t="e">
        <f t="shared" ca="1" si="17"/>
        <v>#REF!</v>
      </c>
      <c r="G142" s="103">
        <f t="shared" ca="1" si="18"/>
        <v>0.4292881662082223</v>
      </c>
      <c r="H142" s="103">
        <f t="shared" ca="1" si="19"/>
        <v>0.19908176131216718</v>
      </c>
      <c r="I142" s="103" t="e">
        <f t="shared" ca="1" si="20"/>
        <v>#REF!</v>
      </c>
      <c r="J142" s="103" t="e">
        <f t="shared" ca="1" si="21"/>
        <v>#REF!</v>
      </c>
      <c r="K142" s="103" t="e">
        <f t="shared" ca="1" si="22"/>
        <v>#REF!</v>
      </c>
      <c r="L142" s="103" t="e">
        <f t="shared" ca="1" si="23"/>
        <v>#REF!</v>
      </c>
      <c r="M142" s="103" t="e">
        <f t="shared" ca="1" si="24"/>
        <v>#REF!</v>
      </c>
      <c r="N142" s="104" t="e">
        <f t="shared" ca="1" si="25"/>
        <v>#REF!</v>
      </c>
    </row>
    <row r="143" spans="1:14">
      <c r="A143" s="95">
        <v>105</v>
      </c>
      <c r="B143" s="102" t="e">
        <f t="shared" ca="1" si="13"/>
        <v>#REF!</v>
      </c>
      <c r="C143" s="102" t="e">
        <f t="shared" ca="1" si="14"/>
        <v>#REF!</v>
      </c>
      <c r="D143" s="102" t="e">
        <f t="shared" ca="1" si="15"/>
        <v>#REF!</v>
      </c>
      <c r="E143" s="102" t="e">
        <f t="shared" ca="1" si="16"/>
        <v>#REF!</v>
      </c>
      <c r="F143" s="102" t="e">
        <f t="shared" ca="1" si="17"/>
        <v>#REF!</v>
      </c>
      <c r="G143" s="103">
        <f t="shared" ca="1" si="18"/>
        <v>0.46637554626867356</v>
      </c>
      <c r="H143" s="103">
        <f t="shared" ca="1" si="19"/>
        <v>0.20577914803507985</v>
      </c>
      <c r="I143" s="103" t="e">
        <f t="shared" ca="1" si="20"/>
        <v>#REF!</v>
      </c>
      <c r="J143" s="103" t="e">
        <f t="shared" ca="1" si="21"/>
        <v>#REF!</v>
      </c>
      <c r="K143" s="103" t="e">
        <f t="shared" ca="1" si="22"/>
        <v>#REF!</v>
      </c>
      <c r="L143" s="103" t="e">
        <f t="shared" ca="1" si="23"/>
        <v>#REF!</v>
      </c>
      <c r="M143" s="103" t="e">
        <f t="shared" ca="1" si="24"/>
        <v>#REF!</v>
      </c>
      <c r="N143" s="104" t="e">
        <f t="shared" ca="1" si="25"/>
        <v>#REF!</v>
      </c>
    </row>
    <row r="144" spans="1:14">
      <c r="A144" s="96">
        <v>106</v>
      </c>
      <c r="B144" s="102" t="e">
        <f t="shared" ca="1" si="13"/>
        <v>#REF!</v>
      </c>
      <c r="C144" s="102" t="e">
        <f t="shared" ca="1" si="14"/>
        <v>#REF!</v>
      </c>
      <c r="D144" s="102" t="e">
        <f t="shared" ca="1" si="15"/>
        <v>#REF!</v>
      </c>
      <c r="E144" s="102" t="e">
        <f t="shared" ca="1" si="16"/>
        <v>#REF!</v>
      </c>
      <c r="F144" s="102" t="e">
        <f t="shared" ca="1" si="17"/>
        <v>#REF!</v>
      </c>
      <c r="G144" s="103">
        <f t="shared" ca="1" si="18"/>
        <v>0.41988007194901694</v>
      </c>
      <c r="H144" s="103">
        <f t="shared" ca="1" si="19"/>
        <v>0.22087423977463011</v>
      </c>
      <c r="I144" s="103" t="e">
        <f t="shared" ca="1" si="20"/>
        <v>#REF!</v>
      </c>
      <c r="J144" s="103" t="e">
        <f t="shared" ca="1" si="21"/>
        <v>#REF!</v>
      </c>
      <c r="K144" s="103" t="e">
        <f t="shared" ca="1" si="22"/>
        <v>#REF!</v>
      </c>
      <c r="L144" s="103" t="e">
        <f t="shared" ca="1" si="23"/>
        <v>#REF!</v>
      </c>
      <c r="M144" s="103" t="e">
        <f t="shared" ca="1" si="24"/>
        <v>#REF!</v>
      </c>
      <c r="N144" s="104" t="e">
        <f t="shared" ca="1" si="25"/>
        <v>#REF!</v>
      </c>
    </row>
    <row r="145" spans="1:14">
      <c r="A145" s="95">
        <v>107</v>
      </c>
      <c r="B145" s="102" t="e">
        <f t="shared" ca="1" si="13"/>
        <v>#REF!</v>
      </c>
      <c r="C145" s="102" t="e">
        <f t="shared" ca="1" si="14"/>
        <v>#REF!</v>
      </c>
      <c r="D145" s="102" t="e">
        <f t="shared" ca="1" si="15"/>
        <v>#REF!</v>
      </c>
      <c r="E145" s="102" t="e">
        <f t="shared" ca="1" si="16"/>
        <v>#REF!</v>
      </c>
      <c r="F145" s="102" t="e">
        <f t="shared" ca="1" si="17"/>
        <v>#REF!</v>
      </c>
      <c r="G145" s="103">
        <f t="shared" ca="1" si="18"/>
        <v>0.44340689584919984</v>
      </c>
      <c r="H145" s="103">
        <f t="shared" ca="1" si="19"/>
        <v>0.20719870722044478</v>
      </c>
      <c r="I145" s="103" t="e">
        <f t="shared" ca="1" si="20"/>
        <v>#REF!</v>
      </c>
      <c r="J145" s="103" t="e">
        <f t="shared" ca="1" si="21"/>
        <v>#REF!</v>
      </c>
      <c r="K145" s="103" t="e">
        <f t="shared" ca="1" si="22"/>
        <v>#REF!</v>
      </c>
      <c r="L145" s="103" t="e">
        <f t="shared" ca="1" si="23"/>
        <v>#REF!</v>
      </c>
      <c r="M145" s="103" t="e">
        <f t="shared" ca="1" si="24"/>
        <v>#REF!</v>
      </c>
      <c r="N145" s="104" t="e">
        <f t="shared" ca="1" si="25"/>
        <v>#REF!</v>
      </c>
    </row>
    <row r="146" spans="1:14">
      <c r="A146" s="96">
        <v>108</v>
      </c>
      <c r="B146" s="102" t="e">
        <f t="shared" ca="1" si="13"/>
        <v>#REF!</v>
      </c>
      <c r="C146" s="102" t="e">
        <f t="shared" ca="1" si="14"/>
        <v>#REF!</v>
      </c>
      <c r="D146" s="102" t="e">
        <f t="shared" ca="1" si="15"/>
        <v>#REF!</v>
      </c>
      <c r="E146" s="102" t="e">
        <f t="shared" ca="1" si="16"/>
        <v>#REF!</v>
      </c>
      <c r="F146" s="102" t="e">
        <f t="shared" ca="1" si="17"/>
        <v>#REF!</v>
      </c>
      <c r="G146" s="103">
        <f t="shared" ca="1" si="18"/>
        <v>0.44713965496195907</v>
      </c>
      <c r="H146" s="103">
        <f t="shared" ca="1" si="19"/>
        <v>0.20307533516137771</v>
      </c>
      <c r="I146" s="103" t="e">
        <f t="shared" ca="1" si="20"/>
        <v>#REF!</v>
      </c>
      <c r="J146" s="103" t="e">
        <f t="shared" ca="1" si="21"/>
        <v>#REF!</v>
      </c>
      <c r="K146" s="103" t="e">
        <f t="shared" ca="1" si="22"/>
        <v>#REF!</v>
      </c>
      <c r="L146" s="103" t="e">
        <f t="shared" ca="1" si="23"/>
        <v>#REF!</v>
      </c>
      <c r="M146" s="103" t="e">
        <f t="shared" ca="1" si="24"/>
        <v>#REF!</v>
      </c>
      <c r="N146" s="104" t="e">
        <f t="shared" ca="1" si="25"/>
        <v>#REF!</v>
      </c>
    </row>
    <row r="147" spans="1:14">
      <c r="A147" s="95">
        <v>109</v>
      </c>
      <c r="B147" s="102" t="e">
        <f t="shared" ca="1" si="13"/>
        <v>#REF!</v>
      </c>
      <c r="C147" s="102" t="e">
        <f t="shared" ca="1" si="14"/>
        <v>#REF!</v>
      </c>
      <c r="D147" s="102" t="e">
        <f t="shared" ca="1" si="15"/>
        <v>#REF!</v>
      </c>
      <c r="E147" s="102" t="e">
        <f t="shared" ca="1" si="16"/>
        <v>#REF!</v>
      </c>
      <c r="F147" s="102" t="e">
        <f t="shared" ca="1" si="17"/>
        <v>#REF!</v>
      </c>
      <c r="G147" s="103">
        <f t="shared" ca="1" si="18"/>
        <v>0.47041420946978785</v>
      </c>
      <c r="H147" s="103">
        <f t="shared" ca="1" si="19"/>
        <v>0.21515748273743829</v>
      </c>
      <c r="I147" s="103" t="e">
        <f t="shared" ca="1" si="20"/>
        <v>#REF!</v>
      </c>
      <c r="J147" s="103" t="e">
        <f t="shared" ca="1" si="21"/>
        <v>#REF!</v>
      </c>
      <c r="K147" s="103" t="e">
        <f t="shared" ca="1" si="22"/>
        <v>#REF!</v>
      </c>
      <c r="L147" s="103" t="e">
        <f t="shared" ca="1" si="23"/>
        <v>#REF!</v>
      </c>
      <c r="M147" s="103" t="e">
        <f t="shared" ca="1" si="24"/>
        <v>#REF!</v>
      </c>
      <c r="N147" s="104" t="e">
        <f t="shared" ca="1" si="25"/>
        <v>#REF!</v>
      </c>
    </row>
    <row r="148" spans="1:14">
      <c r="A148" s="96">
        <v>110</v>
      </c>
      <c r="B148" s="102" t="e">
        <f t="shared" ca="1" si="13"/>
        <v>#REF!</v>
      </c>
      <c r="C148" s="102" t="e">
        <f t="shared" ca="1" si="14"/>
        <v>#REF!</v>
      </c>
      <c r="D148" s="102" t="e">
        <f t="shared" ca="1" si="15"/>
        <v>#REF!</v>
      </c>
      <c r="E148" s="102" t="e">
        <f t="shared" ca="1" si="16"/>
        <v>#REF!</v>
      </c>
      <c r="F148" s="102" t="e">
        <f t="shared" ca="1" si="17"/>
        <v>#REF!</v>
      </c>
      <c r="G148" s="103">
        <f t="shared" ca="1" si="18"/>
        <v>0.4554238196681501</v>
      </c>
      <c r="H148" s="103">
        <f t="shared" ca="1" si="19"/>
        <v>0.19134218054210902</v>
      </c>
      <c r="I148" s="103" t="e">
        <f t="shared" ca="1" si="20"/>
        <v>#REF!</v>
      </c>
      <c r="J148" s="103" t="e">
        <f t="shared" ca="1" si="21"/>
        <v>#REF!</v>
      </c>
      <c r="K148" s="103" t="e">
        <f t="shared" ca="1" si="22"/>
        <v>#REF!</v>
      </c>
      <c r="L148" s="103" t="e">
        <f t="shared" ca="1" si="23"/>
        <v>#REF!</v>
      </c>
      <c r="M148" s="103" t="e">
        <f t="shared" ca="1" si="24"/>
        <v>#REF!</v>
      </c>
      <c r="N148" s="104" t="e">
        <f t="shared" ca="1" si="25"/>
        <v>#REF!</v>
      </c>
    </row>
    <row r="149" spans="1:14">
      <c r="A149" s="95">
        <v>111</v>
      </c>
      <c r="B149" s="102" t="e">
        <f t="shared" ca="1" si="13"/>
        <v>#REF!</v>
      </c>
      <c r="C149" s="102" t="e">
        <f t="shared" ca="1" si="14"/>
        <v>#REF!</v>
      </c>
      <c r="D149" s="102" t="e">
        <f t="shared" ca="1" si="15"/>
        <v>#REF!</v>
      </c>
      <c r="E149" s="102" t="e">
        <f t="shared" ca="1" si="16"/>
        <v>#REF!</v>
      </c>
      <c r="F149" s="102" t="e">
        <f t="shared" ca="1" si="17"/>
        <v>#REF!</v>
      </c>
      <c r="G149" s="103">
        <f t="shared" ca="1" si="18"/>
        <v>0.44423721496877983</v>
      </c>
      <c r="H149" s="103">
        <f t="shared" ca="1" si="19"/>
        <v>0.22645516770143281</v>
      </c>
      <c r="I149" s="103" t="e">
        <f t="shared" ca="1" si="20"/>
        <v>#REF!</v>
      </c>
      <c r="J149" s="103" t="e">
        <f t="shared" ca="1" si="21"/>
        <v>#REF!</v>
      </c>
      <c r="K149" s="103" t="e">
        <f t="shared" ca="1" si="22"/>
        <v>#REF!</v>
      </c>
      <c r="L149" s="103" t="e">
        <f t="shared" ca="1" si="23"/>
        <v>#REF!</v>
      </c>
      <c r="M149" s="103" t="e">
        <f t="shared" ca="1" si="24"/>
        <v>#REF!</v>
      </c>
      <c r="N149" s="104" t="e">
        <f t="shared" ca="1" si="25"/>
        <v>#REF!</v>
      </c>
    </row>
    <row r="150" spans="1:14">
      <c r="A150" s="96">
        <v>112</v>
      </c>
      <c r="B150" s="102" t="e">
        <f t="shared" ca="1" si="13"/>
        <v>#REF!</v>
      </c>
      <c r="C150" s="102" t="e">
        <f t="shared" ca="1" si="14"/>
        <v>#REF!</v>
      </c>
      <c r="D150" s="102" t="e">
        <f t="shared" ca="1" si="15"/>
        <v>#REF!</v>
      </c>
      <c r="E150" s="102" t="e">
        <f t="shared" ca="1" si="16"/>
        <v>#REF!</v>
      </c>
      <c r="F150" s="102" t="e">
        <f t="shared" ca="1" si="17"/>
        <v>#REF!</v>
      </c>
      <c r="G150" s="103">
        <f t="shared" ca="1" si="18"/>
        <v>0.46516081242327351</v>
      </c>
      <c r="H150" s="103">
        <f t="shared" ca="1" si="19"/>
        <v>0.20660062835289886</v>
      </c>
      <c r="I150" s="103" t="e">
        <f t="shared" ca="1" si="20"/>
        <v>#REF!</v>
      </c>
      <c r="J150" s="103" t="e">
        <f t="shared" ca="1" si="21"/>
        <v>#REF!</v>
      </c>
      <c r="K150" s="103" t="e">
        <f t="shared" ca="1" si="22"/>
        <v>#REF!</v>
      </c>
      <c r="L150" s="103" t="e">
        <f t="shared" ca="1" si="23"/>
        <v>#REF!</v>
      </c>
      <c r="M150" s="103" t="e">
        <f t="shared" ca="1" si="24"/>
        <v>#REF!</v>
      </c>
      <c r="N150" s="104" t="e">
        <f t="shared" ca="1" si="25"/>
        <v>#REF!</v>
      </c>
    </row>
    <row r="151" spans="1:14">
      <c r="A151" s="95">
        <v>113</v>
      </c>
      <c r="B151" s="102" t="e">
        <f t="shared" ca="1" si="13"/>
        <v>#REF!</v>
      </c>
      <c r="C151" s="102" t="e">
        <f t="shared" ca="1" si="14"/>
        <v>#REF!</v>
      </c>
      <c r="D151" s="102" t="e">
        <f t="shared" ca="1" si="15"/>
        <v>#REF!</v>
      </c>
      <c r="E151" s="102" t="e">
        <f t="shared" ca="1" si="16"/>
        <v>#REF!</v>
      </c>
      <c r="F151" s="102" t="e">
        <f t="shared" ca="1" si="17"/>
        <v>#REF!</v>
      </c>
      <c r="G151" s="103">
        <f t="shared" ca="1" si="18"/>
        <v>0.4173832133734689</v>
      </c>
      <c r="H151" s="103">
        <f t="shared" ca="1" si="19"/>
        <v>0.17999236879369324</v>
      </c>
      <c r="I151" s="103" t="e">
        <f t="shared" ca="1" si="20"/>
        <v>#REF!</v>
      </c>
      <c r="J151" s="103" t="e">
        <f t="shared" ca="1" si="21"/>
        <v>#REF!</v>
      </c>
      <c r="K151" s="103" t="e">
        <f t="shared" ca="1" si="22"/>
        <v>#REF!</v>
      </c>
      <c r="L151" s="103" t="e">
        <f t="shared" ca="1" si="23"/>
        <v>#REF!</v>
      </c>
      <c r="M151" s="103" t="e">
        <f t="shared" ca="1" si="24"/>
        <v>#REF!</v>
      </c>
      <c r="N151" s="104" t="e">
        <f t="shared" ca="1" si="25"/>
        <v>#REF!</v>
      </c>
    </row>
    <row r="152" spans="1:14">
      <c r="A152" s="96">
        <v>114</v>
      </c>
      <c r="B152" s="102" t="e">
        <f t="shared" ca="1" si="13"/>
        <v>#REF!</v>
      </c>
      <c r="C152" s="102" t="e">
        <f t="shared" ca="1" si="14"/>
        <v>#REF!</v>
      </c>
      <c r="D152" s="102" t="e">
        <f t="shared" ca="1" si="15"/>
        <v>#REF!</v>
      </c>
      <c r="E152" s="102" t="e">
        <f t="shared" ca="1" si="16"/>
        <v>#REF!</v>
      </c>
      <c r="F152" s="102" t="e">
        <f t="shared" ca="1" si="17"/>
        <v>#REF!</v>
      </c>
      <c r="G152" s="103">
        <f t="shared" ca="1" si="18"/>
        <v>0.45479153718401499</v>
      </c>
      <c r="H152" s="103">
        <f t="shared" ca="1" si="19"/>
        <v>0.19876765378092534</v>
      </c>
      <c r="I152" s="103" t="e">
        <f t="shared" ca="1" si="20"/>
        <v>#REF!</v>
      </c>
      <c r="J152" s="103" t="e">
        <f t="shared" ca="1" si="21"/>
        <v>#REF!</v>
      </c>
      <c r="K152" s="103" t="e">
        <f t="shared" ca="1" si="22"/>
        <v>#REF!</v>
      </c>
      <c r="L152" s="103" t="e">
        <f t="shared" ca="1" si="23"/>
        <v>#REF!</v>
      </c>
      <c r="M152" s="103" t="e">
        <f t="shared" ca="1" si="24"/>
        <v>#REF!</v>
      </c>
      <c r="N152" s="104" t="e">
        <f t="shared" ca="1" si="25"/>
        <v>#REF!</v>
      </c>
    </row>
    <row r="153" spans="1:14">
      <c r="A153" s="95">
        <v>115</v>
      </c>
      <c r="B153" s="102" t="e">
        <f t="shared" ca="1" si="13"/>
        <v>#REF!</v>
      </c>
      <c r="C153" s="102" t="e">
        <f t="shared" ca="1" si="14"/>
        <v>#REF!</v>
      </c>
      <c r="D153" s="102" t="e">
        <f t="shared" ca="1" si="15"/>
        <v>#REF!</v>
      </c>
      <c r="E153" s="102" t="e">
        <f t="shared" ca="1" si="16"/>
        <v>#REF!</v>
      </c>
      <c r="F153" s="102" t="e">
        <f t="shared" ca="1" si="17"/>
        <v>#REF!</v>
      </c>
      <c r="G153" s="103">
        <f t="shared" ca="1" si="18"/>
        <v>0.45360179380338267</v>
      </c>
      <c r="H153" s="103">
        <f t="shared" ca="1" si="19"/>
        <v>0.21181711140101336</v>
      </c>
      <c r="I153" s="103" t="e">
        <f t="shared" ca="1" si="20"/>
        <v>#REF!</v>
      </c>
      <c r="J153" s="103" t="e">
        <f t="shared" ca="1" si="21"/>
        <v>#REF!</v>
      </c>
      <c r="K153" s="103" t="e">
        <f t="shared" ca="1" si="22"/>
        <v>#REF!</v>
      </c>
      <c r="L153" s="103" t="e">
        <f t="shared" ca="1" si="23"/>
        <v>#REF!</v>
      </c>
      <c r="M153" s="103" t="e">
        <f t="shared" ca="1" si="24"/>
        <v>#REF!</v>
      </c>
      <c r="N153" s="104" t="e">
        <f t="shared" ca="1" si="25"/>
        <v>#REF!</v>
      </c>
    </row>
    <row r="154" spans="1:14">
      <c r="A154" s="96">
        <v>116</v>
      </c>
      <c r="B154" s="102" t="e">
        <f t="shared" ca="1" si="13"/>
        <v>#REF!</v>
      </c>
      <c r="C154" s="102" t="e">
        <f t="shared" ca="1" si="14"/>
        <v>#REF!</v>
      </c>
      <c r="D154" s="102" t="e">
        <f t="shared" ca="1" si="15"/>
        <v>#REF!</v>
      </c>
      <c r="E154" s="102" t="e">
        <f t="shared" ca="1" si="16"/>
        <v>#REF!</v>
      </c>
      <c r="F154" s="102" t="e">
        <f t="shared" ca="1" si="17"/>
        <v>#REF!</v>
      </c>
      <c r="G154" s="103">
        <f t="shared" ca="1" si="18"/>
        <v>0.41547804941087141</v>
      </c>
      <c r="H154" s="103">
        <f t="shared" ca="1" si="19"/>
        <v>0.20665499574137028</v>
      </c>
      <c r="I154" s="103" t="e">
        <f t="shared" ca="1" si="20"/>
        <v>#REF!</v>
      </c>
      <c r="J154" s="103" t="e">
        <f t="shared" ca="1" si="21"/>
        <v>#REF!</v>
      </c>
      <c r="K154" s="103" t="e">
        <f t="shared" ca="1" si="22"/>
        <v>#REF!</v>
      </c>
      <c r="L154" s="103" t="e">
        <f t="shared" ca="1" si="23"/>
        <v>#REF!</v>
      </c>
      <c r="M154" s="103" t="e">
        <f t="shared" ca="1" si="24"/>
        <v>#REF!</v>
      </c>
      <c r="N154" s="104" t="e">
        <f t="shared" ca="1" si="25"/>
        <v>#REF!</v>
      </c>
    </row>
    <row r="155" spans="1:14">
      <c r="A155" s="95">
        <v>117</v>
      </c>
      <c r="B155" s="102" t="e">
        <f t="shared" ca="1" si="13"/>
        <v>#REF!</v>
      </c>
      <c r="C155" s="102" t="e">
        <f t="shared" ca="1" si="14"/>
        <v>#REF!</v>
      </c>
      <c r="D155" s="102" t="e">
        <f t="shared" ca="1" si="15"/>
        <v>#REF!</v>
      </c>
      <c r="E155" s="102" t="e">
        <f t="shared" ca="1" si="16"/>
        <v>#REF!</v>
      </c>
      <c r="F155" s="102" t="e">
        <f t="shared" ca="1" si="17"/>
        <v>#REF!</v>
      </c>
      <c r="G155" s="103">
        <f t="shared" ca="1" si="18"/>
        <v>0.41226823702428606</v>
      </c>
      <c r="H155" s="103">
        <f t="shared" ca="1" si="19"/>
        <v>0.21620224958720324</v>
      </c>
      <c r="I155" s="103" t="e">
        <f t="shared" ca="1" si="20"/>
        <v>#REF!</v>
      </c>
      <c r="J155" s="103" t="e">
        <f t="shared" ca="1" si="21"/>
        <v>#REF!</v>
      </c>
      <c r="K155" s="103" t="e">
        <f t="shared" ca="1" si="22"/>
        <v>#REF!</v>
      </c>
      <c r="L155" s="103" t="e">
        <f t="shared" ca="1" si="23"/>
        <v>#REF!</v>
      </c>
      <c r="M155" s="103" t="e">
        <f t="shared" ca="1" si="24"/>
        <v>#REF!</v>
      </c>
      <c r="N155" s="104" t="e">
        <f t="shared" ca="1" si="25"/>
        <v>#REF!</v>
      </c>
    </row>
    <row r="156" spans="1:14">
      <c r="A156" s="96">
        <v>118</v>
      </c>
      <c r="B156" s="102" t="e">
        <f t="shared" ca="1" si="13"/>
        <v>#REF!</v>
      </c>
      <c r="C156" s="102" t="e">
        <f t="shared" ca="1" si="14"/>
        <v>#REF!</v>
      </c>
      <c r="D156" s="102" t="e">
        <f t="shared" ca="1" si="15"/>
        <v>#REF!</v>
      </c>
      <c r="E156" s="102" t="e">
        <f t="shared" ca="1" si="16"/>
        <v>#REF!</v>
      </c>
      <c r="F156" s="102" t="e">
        <f t="shared" ca="1" si="17"/>
        <v>#REF!</v>
      </c>
      <c r="G156" s="103">
        <f t="shared" ca="1" si="18"/>
        <v>0.41838627722112376</v>
      </c>
      <c r="H156" s="103">
        <f t="shared" ca="1" si="19"/>
        <v>0.18895237234818715</v>
      </c>
      <c r="I156" s="103" t="e">
        <f t="shared" ca="1" si="20"/>
        <v>#REF!</v>
      </c>
      <c r="J156" s="103" t="e">
        <f t="shared" ca="1" si="21"/>
        <v>#REF!</v>
      </c>
      <c r="K156" s="103" t="e">
        <f t="shared" ca="1" si="22"/>
        <v>#REF!</v>
      </c>
      <c r="L156" s="103" t="e">
        <f t="shared" ca="1" si="23"/>
        <v>#REF!</v>
      </c>
      <c r="M156" s="103" t="e">
        <f t="shared" ca="1" si="24"/>
        <v>#REF!</v>
      </c>
      <c r="N156" s="104" t="e">
        <f t="shared" ca="1" si="25"/>
        <v>#REF!</v>
      </c>
    </row>
    <row r="157" spans="1:14">
      <c r="A157" s="95">
        <v>119</v>
      </c>
      <c r="B157" s="102" t="e">
        <f t="shared" ca="1" si="13"/>
        <v>#REF!</v>
      </c>
      <c r="C157" s="102" t="e">
        <f t="shared" ca="1" si="14"/>
        <v>#REF!</v>
      </c>
      <c r="D157" s="102" t="e">
        <f t="shared" ca="1" si="15"/>
        <v>#REF!</v>
      </c>
      <c r="E157" s="102" t="e">
        <f t="shared" ca="1" si="16"/>
        <v>#REF!</v>
      </c>
      <c r="F157" s="102" t="e">
        <f t="shared" ca="1" si="17"/>
        <v>#REF!</v>
      </c>
      <c r="G157" s="103">
        <f t="shared" ca="1" si="18"/>
        <v>0.47022495188795277</v>
      </c>
      <c r="H157" s="103">
        <f t="shared" ca="1" si="19"/>
        <v>0.2136570735393625</v>
      </c>
      <c r="I157" s="103" t="e">
        <f t="shared" ca="1" si="20"/>
        <v>#REF!</v>
      </c>
      <c r="J157" s="103" t="e">
        <f t="shared" ca="1" si="21"/>
        <v>#REF!</v>
      </c>
      <c r="K157" s="103" t="e">
        <f t="shared" ca="1" si="22"/>
        <v>#REF!</v>
      </c>
      <c r="L157" s="103" t="e">
        <f t="shared" ca="1" si="23"/>
        <v>#REF!</v>
      </c>
      <c r="M157" s="103" t="e">
        <f t="shared" ca="1" si="24"/>
        <v>#REF!</v>
      </c>
      <c r="N157" s="104" t="e">
        <f t="shared" ca="1" si="25"/>
        <v>#REF!</v>
      </c>
    </row>
    <row r="158" spans="1:14">
      <c r="A158" s="96">
        <v>120</v>
      </c>
      <c r="B158" s="102" t="e">
        <f t="shared" ca="1" si="13"/>
        <v>#REF!</v>
      </c>
      <c r="C158" s="102" t="e">
        <f t="shared" ca="1" si="14"/>
        <v>#REF!</v>
      </c>
      <c r="D158" s="102" t="e">
        <f t="shared" ca="1" si="15"/>
        <v>#REF!</v>
      </c>
      <c r="E158" s="102" t="e">
        <f t="shared" ca="1" si="16"/>
        <v>#REF!</v>
      </c>
      <c r="F158" s="102" t="e">
        <f t="shared" ca="1" si="17"/>
        <v>#REF!</v>
      </c>
      <c r="G158" s="103">
        <f t="shared" ca="1" si="18"/>
        <v>0.41072383021830539</v>
      </c>
      <c r="H158" s="103">
        <f t="shared" ca="1" si="19"/>
        <v>0.17616063695509704</v>
      </c>
      <c r="I158" s="103" t="e">
        <f t="shared" ca="1" si="20"/>
        <v>#REF!</v>
      </c>
      <c r="J158" s="103" t="e">
        <f t="shared" ca="1" si="21"/>
        <v>#REF!</v>
      </c>
      <c r="K158" s="103" t="e">
        <f t="shared" ca="1" si="22"/>
        <v>#REF!</v>
      </c>
      <c r="L158" s="103" t="e">
        <f t="shared" ca="1" si="23"/>
        <v>#REF!</v>
      </c>
      <c r="M158" s="103" t="e">
        <f t="shared" ca="1" si="24"/>
        <v>#REF!</v>
      </c>
      <c r="N158" s="104" t="e">
        <f t="shared" ca="1" si="25"/>
        <v>#REF!</v>
      </c>
    </row>
    <row r="159" spans="1:14">
      <c r="A159" s="95">
        <v>121</v>
      </c>
      <c r="B159" s="102" t="e">
        <f t="shared" ca="1" si="13"/>
        <v>#REF!</v>
      </c>
      <c r="C159" s="102" t="e">
        <f t="shared" ca="1" si="14"/>
        <v>#REF!</v>
      </c>
      <c r="D159" s="102" t="e">
        <f t="shared" ca="1" si="15"/>
        <v>#REF!</v>
      </c>
      <c r="E159" s="102" t="e">
        <f t="shared" ca="1" si="16"/>
        <v>#REF!</v>
      </c>
      <c r="F159" s="102" t="e">
        <f t="shared" ca="1" si="17"/>
        <v>#REF!</v>
      </c>
      <c r="G159" s="103">
        <f t="shared" ca="1" si="18"/>
        <v>0.45604224245262343</v>
      </c>
      <c r="H159" s="103">
        <f t="shared" ca="1" si="19"/>
        <v>0.20971927282062119</v>
      </c>
      <c r="I159" s="103" t="e">
        <f t="shared" ca="1" si="20"/>
        <v>#REF!</v>
      </c>
      <c r="J159" s="103" t="e">
        <f t="shared" ca="1" si="21"/>
        <v>#REF!</v>
      </c>
      <c r="K159" s="103" t="e">
        <f t="shared" ca="1" si="22"/>
        <v>#REF!</v>
      </c>
      <c r="L159" s="103" t="e">
        <f t="shared" ca="1" si="23"/>
        <v>#REF!</v>
      </c>
      <c r="M159" s="103" t="e">
        <f t="shared" ca="1" si="24"/>
        <v>#REF!</v>
      </c>
      <c r="N159" s="104" t="e">
        <f t="shared" ca="1" si="25"/>
        <v>#REF!</v>
      </c>
    </row>
    <row r="160" spans="1:14">
      <c r="A160" s="96">
        <v>122</v>
      </c>
      <c r="B160" s="102" t="e">
        <f t="shared" ca="1" si="13"/>
        <v>#REF!</v>
      </c>
      <c r="C160" s="102" t="e">
        <f t="shared" ca="1" si="14"/>
        <v>#REF!</v>
      </c>
      <c r="D160" s="102" t="e">
        <f t="shared" ca="1" si="15"/>
        <v>#REF!</v>
      </c>
      <c r="E160" s="102" t="e">
        <f t="shared" ca="1" si="16"/>
        <v>#REF!</v>
      </c>
      <c r="F160" s="102" t="e">
        <f t="shared" ca="1" si="17"/>
        <v>#REF!</v>
      </c>
      <c r="G160" s="103">
        <f t="shared" ca="1" si="18"/>
        <v>0.43386625731371165</v>
      </c>
      <c r="H160" s="103">
        <f t="shared" ca="1" si="19"/>
        <v>0.23639391996384385</v>
      </c>
      <c r="I160" s="103" t="e">
        <f t="shared" ca="1" si="20"/>
        <v>#REF!</v>
      </c>
      <c r="J160" s="103" t="e">
        <f t="shared" ca="1" si="21"/>
        <v>#REF!</v>
      </c>
      <c r="K160" s="103" t="e">
        <f t="shared" ca="1" si="22"/>
        <v>#REF!</v>
      </c>
      <c r="L160" s="103" t="e">
        <f t="shared" ca="1" si="23"/>
        <v>#REF!</v>
      </c>
      <c r="M160" s="103" t="e">
        <f t="shared" ca="1" si="24"/>
        <v>#REF!</v>
      </c>
      <c r="N160" s="104" t="e">
        <f t="shared" ca="1" si="25"/>
        <v>#REF!</v>
      </c>
    </row>
    <row r="161" spans="1:14">
      <c r="A161" s="95">
        <v>123</v>
      </c>
      <c r="B161" s="102" t="e">
        <f t="shared" ca="1" si="13"/>
        <v>#REF!</v>
      </c>
      <c r="C161" s="102" t="e">
        <f t="shared" ca="1" si="14"/>
        <v>#REF!</v>
      </c>
      <c r="D161" s="102" t="e">
        <f t="shared" ca="1" si="15"/>
        <v>#REF!</v>
      </c>
      <c r="E161" s="102" t="e">
        <f t="shared" ca="1" si="16"/>
        <v>#REF!</v>
      </c>
      <c r="F161" s="102" t="e">
        <f t="shared" ca="1" si="17"/>
        <v>#REF!</v>
      </c>
      <c r="G161" s="103">
        <f t="shared" ca="1" si="18"/>
        <v>0.45068551075033708</v>
      </c>
      <c r="H161" s="103">
        <f t="shared" ca="1" si="19"/>
        <v>0.18043952300711186</v>
      </c>
      <c r="I161" s="103" t="e">
        <f t="shared" ca="1" si="20"/>
        <v>#REF!</v>
      </c>
      <c r="J161" s="103" t="e">
        <f t="shared" ca="1" si="21"/>
        <v>#REF!</v>
      </c>
      <c r="K161" s="103" t="e">
        <f t="shared" ca="1" si="22"/>
        <v>#REF!</v>
      </c>
      <c r="L161" s="103" t="e">
        <f t="shared" ca="1" si="23"/>
        <v>#REF!</v>
      </c>
      <c r="M161" s="103" t="e">
        <f t="shared" ca="1" si="24"/>
        <v>#REF!</v>
      </c>
      <c r="N161" s="104" t="e">
        <f t="shared" ca="1" si="25"/>
        <v>#REF!</v>
      </c>
    </row>
    <row r="162" spans="1:14">
      <c r="A162" s="96">
        <v>124</v>
      </c>
      <c r="B162" s="102" t="e">
        <f t="shared" ca="1" si="13"/>
        <v>#REF!</v>
      </c>
      <c r="C162" s="102" t="e">
        <f t="shared" ca="1" si="14"/>
        <v>#REF!</v>
      </c>
      <c r="D162" s="102" t="e">
        <f t="shared" ca="1" si="15"/>
        <v>#REF!</v>
      </c>
      <c r="E162" s="102" t="e">
        <f t="shared" ca="1" si="16"/>
        <v>#REF!</v>
      </c>
      <c r="F162" s="102" t="e">
        <f t="shared" ca="1" si="17"/>
        <v>#REF!</v>
      </c>
      <c r="G162" s="103">
        <f t="shared" ca="1" si="18"/>
        <v>0.4425738471288736</v>
      </c>
      <c r="H162" s="103">
        <f t="shared" ca="1" si="19"/>
        <v>0.21384670139944204</v>
      </c>
      <c r="I162" s="103" t="e">
        <f t="shared" ca="1" si="20"/>
        <v>#REF!</v>
      </c>
      <c r="J162" s="103" t="e">
        <f t="shared" ca="1" si="21"/>
        <v>#REF!</v>
      </c>
      <c r="K162" s="103" t="e">
        <f t="shared" ca="1" si="22"/>
        <v>#REF!</v>
      </c>
      <c r="L162" s="103" t="e">
        <f t="shared" ca="1" si="23"/>
        <v>#REF!</v>
      </c>
      <c r="M162" s="103" t="e">
        <f t="shared" ca="1" si="24"/>
        <v>#REF!</v>
      </c>
      <c r="N162" s="104" t="e">
        <f t="shared" ca="1" si="25"/>
        <v>#REF!</v>
      </c>
    </row>
    <row r="163" spans="1:14">
      <c r="A163" s="95">
        <v>125</v>
      </c>
      <c r="B163" s="102" t="e">
        <f t="shared" ca="1" si="13"/>
        <v>#REF!</v>
      </c>
      <c r="C163" s="102" t="e">
        <f t="shared" ca="1" si="14"/>
        <v>#REF!</v>
      </c>
      <c r="D163" s="102" t="e">
        <f t="shared" ca="1" si="15"/>
        <v>#REF!</v>
      </c>
      <c r="E163" s="102" t="e">
        <f t="shared" ca="1" si="16"/>
        <v>#REF!</v>
      </c>
      <c r="F163" s="102" t="e">
        <f t="shared" ca="1" si="17"/>
        <v>#REF!</v>
      </c>
      <c r="G163" s="103">
        <f t="shared" ca="1" si="18"/>
        <v>0.42820995907748932</v>
      </c>
      <c r="H163" s="103">
        <f t="shared" ca="1" si="19"/>
        <v>0.19408446877623647</v>
      </c>
      <c r="I163" s="103" t="e">
        <f t="shared" ca="1" si="20"/>
        <v>#REF!</v>
      </c>
      <c r="J163" s="103" t="e">
        <f t="shared" ca="1" si="21"/>
        <v>#REF!</v>
      </c>
      <c r="K163" s="103" t="e">
        <f t="shared" ca="1" si="22"/>
        <v>#REF!</v>
      </c>
      <c r="L163" s="103" t="e">
        <f t="shared" ca="1" si="23"/>
        <v>#REF!</v>
      </c>
      <c r="M163" s="103" t="e">
        <f t="shared" ca="1" si="24"/>
        <v>#REF!</v>
      </c>
      <c r="N163" s="104" t="e">
        <f t="shared" ca="1" si="25"/>
        <v>#REF!</v>
      </c>
    </row>
    <row r="164" spans="1:14">
      <c r="A164" s="96">
        <v>126</v>
      </c>
      <c r="B164" s="102" t="e">
        <f t="shared" ca="1" si="13"/>
        <v>#REF!</v>
      </c>
      <c r="C164" s="102" t="e">
        <f t="shared" ca="1" si="14"/>
        <v>#REF!</v>
      </c>
      <c r="D164" s="102" t="e">
        <f t="shared" ca="1" si="15"/>
        <v>#REF!</v>
      </c>
      <c r="E164" s="102" t="e">
        <f t="shared" ca="1" si="16"/>
        <v>#REF!</v>
      </c>
      <c r="F164" s="102" t="e">
        <f t="shared" ca="1" si="17"/>
        <v>#REF!</v>
      </c>
      <c r="G164" s="103">
        <f t="shared" ca="1" si="18"/>
        <v>0.45006038905083701</v>
      </c>
      <c r="H164" s="103">
        <f t="shared" ca="1" si="19"/>
        <v>0.21507367727750645</v>
      </c>
      <c r="I164" s="103" t="e">
        <f t="shared" ca="1" si="20"/>
        <v>#REF!</v>
      </c>
      <c r="J164" s="103" t="e">
        <f t="shared" ca="1" si="21"/>
        <v>#REF!</v>
      </c>
      <c r="K164" s="103" t="e">
        <f t="shared" ca="1" si="22"/>
        <v>#REF!</v>
      </c>
      <c r="L164" s="103" t="e">
        <f t="shared" ca="1" si="23"/>
        <v>#REF!</v>
      </c>
      <c r="M164" s="103" t="e">
        <f t="shared" ca="1" si="24"/>
        <v>#REF!</v>
      </c>
      <c r="N164" s="104" t="e">
        <f t="shared" ca="1" si="25"/>
        <v>#REF!</v>
      </c>
    </row>
    <row r="165" spans="1:14">
      <c r="A165" s="95">
        <v>127</v>
      </c>
      <c r="B165" s="102" t="e">
        <f t="shared" ca="1" si="13"/>
        <v>#REF!</v>
      </c>
      <c r="C165" s="102" t="e">
        <f t="shared" ca="1" si="14"/>
        <v>#REF!</v>
      </c>
      <c r="D165" s="102" t="e">
        <f t="shared" ca="1" si="15"/>
        <v>#REF!</v>
      </c>
      <c r="E165" s="102" t="e">
        <f t="shared" ca="1" si="16"/>
        <v>#REF!</v>
      </c>
      <c r="F165" s="102" t="e">
        <f t="shared" ca="1" si="17"/>
        <v>#REF!</v>
      </c>
      <c r="G165" s="103">
        <f t="shared" ca="1" si="18"/>
        <v>0.43568654653713029</v>
      </c>
      <c r="H165" s="103">
        <f t="shared" ca="1" si="19"/>
        <v>0.19967760800810369</v>
      </c>
      <c r="I165" s="103" t="e">
        <f t="shared" ca="1" si="20"/>
        <v>#REF!</v>
      </c>
      <c r="J165" s="103" t="e">
        <f t="shared" ca="1" si="21"/>
        <v>#REF!</v>
      </c>
      <c r="K165" s="103" t="e">
        <f t="shared" ca="1" si="22"/>
        <v>#REF!</v>
      </c>
      <c r="L165" s="103" t="e">
        <f t="shared" ca="1" si="23"/>
        <v>#REF!</v>
      </c>
      <c r="M165" s="103" t="e">
        <f t="shared" ca="1" si="24"/>
        <v>#REF!</v>
      </c>
      <c r="N165" s="104" t="e">
        <f t="shared" ca="1" si="25"/>
        <v>#REF!</v>
      </c>
    </row>
    <row r="166" spans="1:14">
      <c r="A166" s="96">
        <v>128</v>
      </c>
      <c r="B166" s="102" t="e">
        <f t="shared" ca="1" si="13"/>
        <v>#REF!</v>
      </c>
      <c r="C166" s="102" t="e">
        <f t="shared" ca="1" si="14"/>
        <v>#REF!</v>
      </c>
      <c r="D166" s="102" t="e">
        <f t="shared" ca="1" si="15"/>
        <v>#REF!</v>
      </c>
      <c r="E166" s="102" t="e">
        <f t="shared" ca="1" si="16"/>
        <v>#REF!</v>
      </c>
      <c r="F166" s="102" t="e">
        <f t="shared" ca="1" si="17"/>
        <v>#REF!</v>
      </c>
      <c r="G166" s="103">
        <f t="shared" ca="1" si="18"/>
        <v>0.49027827441086047</v>
      </c>
      <c r="H166" s="103">
        <f t="shared" ca="1" si="19"/>
        <v>0.19866493063704072</v>
      </c>
      <c r="I166" s="103" t="e">
        <f t="shared" ca="1" si="20"/>
        <v>#REF!</v>
      </c>
      <c r="J166" s="103" t="e">
        <f t="shared" ca="1" si="21"/>
        <v>#REF!</v>
      </c>
      <c r="K166" s="103" t="e">
        <f t="shared" ca="1" si="22"/>
        <v>#REF!</v>
      </c>
      <c r="L166" s="103" t="e">
        <f t="shared" ca="1" si="23"/>
        <v>#REF!</v>
      </c>
      <c r="M166" s="103" t="e">
        <f t="shared" ca="1" si="24"/>
        <v>#REF!</v>
      </c>
      <c r="N166" s="104" t="e">
        <f t="shared" ca="1" si="25"/>
        <v>#REF!</v>
      </c>
    </row>
    <row r="167" spans="1:14">
      <c r="A167" s="95">
        <v>129</v>
      </c>
      <c r="B167" s="102" t="e">
        <f t="shared" ca="1" si="13"/>
        <v>#REF!</v>
      </c>
      <c r="C167" s="102" t="e">
        <f t="shared" ca="1" si="14"/>
        <v>#REF!</v>
      </c>
      <c r="D167" s="102" t="e">
        <f t="shared" ca="1" si="15"/>
        <v>#REF!</v>
      </c>
      <c r="E167" s="102" t="e">
        <f t="shared" ca="1" si="16"/>
        <v>#REF!</v>
      </c>
      <c r="F167" s="102" t="e">
        <f t="shared" ca="1" si="17"/>
        <v>#REF!</v>
      </c>
      <c r="G167" s="103">
        <f t="shared" ca="1" si="18"/>
        <v>0.4169259513251562</v>
      </c>
      <c r="H167" s="103">
        <f t="shared" ca="1" si="19"/>
        <v>0.22983684375801561</v>
      </c>
      <c r="I167" s="103" t="e">
        <f t="shared" ca="1" si="20"/>
        <v>#REF!</v>
      </c>
      <c r="J167" s="103" t="e">
        <f t="shared" ca="1" si="21"/>
        <v>#REF!</v>
      </c>
      <c r="K167" s="103" t="e">
        <f t="shared" ca="1" si="22"/>
        <v>#REF!</v>
      </c>
      <c r="L167" s="103" t="e">
        <f t="shared" ca="1" si="23"/>
        <v>#REF!</v>
      </c>
      <c r="M167" s="103" t="e">
        <f t="shared" ca="1" si="24"/>
        <v>#REF!</v>
      </c>
      <c r="N167" s="104" t="e">
        <f t="shared" ca="1" si="25"/>
        <v>#REF!</v>
      </c>
    </row>
    <row r="168" spans="1:14">
      <c r="A168" s="96">
        <v>130</v>
      </c>
      <c r="B168" s="102" t="e">
        <f t="shared" ref="B168:B231" ca="1" si="26">_xlfn.LOGNORM.INV(RAND(),$D$5,$E$5)</f>
        <v>#REF!</v>
      </c>
      <c r="C168" s="102" t="e">
        <f t="shared" ref="C168:C231" ca="1" si="27">_xlfn.LOGNORM.INV(RAND(),$D$6,$E$6)</f>
        <v>#REF!</v>
      </c>
      <c r="D168" s="102" t="e">
        <f t="shared" ref="D168:D231" ca="1" si="28">_xlfn.LOGNORM.INV(RAND(),$D$7,$E$7)</f>
        <v>#REF!</v>
      </c>
      <c r="E168" s="102" t="e">
        <f t="shared" ref="E168:E231" ca="1" si="29">_xlfn.LOGNORM.INV(RAND(),$D$8,$E$8)</f>
        <v>#REF!</v>
      </c>
      <c r="F168" s="102" t="e">
        <f t="shared" ref="F168:F231" ca="1" si="30">_xlfn.LOGNORM.INV(RAND(),$D$9,$E$9)</f>
        <v>#REF!</v>
      </c>
      <c r="G168" s="103">
        <f t="shared" ref="G168:G231" ca="1" si="31">_xlfn.NORM.INV(RAND(),$B$12,$C$12)</f>
        <v>0.39428565856581205</v>
      </c>
      <c r="H168" s="103">
        <f t="shared" ref="H168:H231" ca="1" si="32">_xlfn.NORM.INV(RAND(),$B$13,$C$13)</f>
        <v>0.22022610378149315</v>
      </c>
      <c r="I168" s="103" t="e">
        <f t="shared" ref="I168:I231" ca="1" si="33">G168*($E$16/24)+H168*(1-$E$16/24)</f>
        <v>#REF!</v>
      </c>
      <c r="J168" s="103" t="e">
        <f t="shared" ref="J168:J231" ca="1" si="34">G168*($E$17/24)+H168*(1-$E$17/24)</f>
        <v>#REF!</v>
      </c>
      <c r="K168" s="103" t="e">
        <f t="shared" ref="K168:K231" ca="1" si="35">G168*($E$18/24)+H168*(1-$E$18/24)</f>
        <v>#REF!</v>
      </c>
      <c r="L168" s="103" t="e">
        <f t="shared" ref="L168:L231" ca="1" si="36">G168*($E$19/24)+H168*(1-$E$19/24)</f>
        <v>#REF!</v>
      </c>
      <c r="M168" s="103" t="e">
        <f t="shared" ref="M168:M231" ca="1" si="37">G168*($E$20/24)+H168*(1-$E$20/24)</f>
        <v>#REF!</v>
      </c>
      <c r="N168" s="104" t="e">
        <f t="shared" ref="N168:N231" ca="1" si="38">B168*$B$16+C168*$B$17+D168*$B$18+E168*$B$19+F168*$B$20-($C$16*$D$16*I168+$C$17*$D$17*J168+$C$18*$D$18*K168+$C$19*$D$19*L168+$C$20*$D$20*M168)</f>
        <v>#REF!</v>
      </c>
    </row>
    <row r="169" spans="1:14">
      <c r="A169" s="95">
        <v>131</v>
      </c>
      <c r="B169" s="102" t="e">
        <f t="shared" ca="1" si="26"/>
        <v>#REF!</v>
      </c>
      <c r="C169" s="102" t="e">
        <f t="shared" ca="1" si="27"/>
        <v>#REF!</v>
      </c>
      <c r="D169" s="102" t="e">
        <f t="shared" ca="1" si="28"/>
        <v>#REF!</v>
      </c>
      <c r="E169" s="102" t="e">
        <f t="shared" ca="1" si="29"/>
        <v>#REF!</v>
      </c>
      <c r="F169" s="102" t="e">
        <f t="shared" ca="1" si="30"/>
        <v>#REF!</v>
      </c>
      <c r="G169" s="103">
        <f t="shared" ca="1" si="31"/>
        <v>0.45479692369712327</v>
      </c>
      <c r="H169" s="103">
        <f t="shared" ca="1" si="32"/>
        <v>0.18442305093869171</v>
      </c>
      <c r="I169" s="103" t="e">
        <f t="shared" ca="1" si="33"/>
        <v>#REF!</v>
      </c>
      <c r="J169" s="103" t="e">
        <f t="shared" ca="1" si="34"/>
        <v>#REF!</v>
      </c>
      <c r="K169" s="103" t="e">
        <f t="shared" ca="1" si="35"/>
        <v>#REF!</v>
      </c>
      <c r="L169" s="103" t="e">
        <f t="shared" ca="1" si="36"/>
        <v>#REF!</v>
      </c>
      <c r="M169" s="103" t="e">
        <f t="shared" ca="1" si="37"/>
        <v>#REF!</v>
      </c>
      <c r="N169" s="104" t="e">
        <f t="shared" ca="1" si="38"/>
        <v>#REF!</v>
      </c>
    </row>
    <row r="170" spans="1:14">
      <c r="A170" s="96">
        <v>132</v>
      </c>
      <c r="B170" s="102" t="e">
        <f t="shared" ca="1" si="26"/>
        <v>#REF!</v>
      </c>
      <c r="C170" s="102" t="e">
        <f t="shared" ca="1" si="27"/>
        <v>#REF!</v>
      </c>
      <c r="D170" s="102" t="e">
        <f t="shared" ca="1" si="28"/>
        <v>#REF!</v>
      </c>
      <c r="E170" s="102" t="e">
        <f t="shared" ca="1" si="29"/>
        <v>#REF!</v>
      </c>
      <c r="F170" s="102" t="e">
        <f t="shared" ca="1" si="30"/>
        <v>#REF!</v>
      </c>
      <c r="G170" s="103">
        <f t="shared" ca="1" si="31"/>
        <v>0.45413727565420159</v>
      </c>
      <c r="H170" s="103">
        <f t="shared" ca="1" si="32"/>
        <v>0.1715881066549258</v>
      </c>
      <c r="I170" s="103" t="e">
        <f t="shared" ca="1" si="33"/>
        <v>#REF!</v>
      </c>
      <c r="J170" s="103" t="e">
        <f t="shared" ca="1" si="34"/>
        <v>#REF!</v>
      </c>
      <c r="K170" s="103" t="e">
        <f t="shared" ca="1" si="35"/>
        <v>#REF!</v>
      </c>
      <c r="L170" s="103" t="e">
        <f t="shared" ca="1" si="36"/>
        <v>#REF!</v>
      </c>
      <c r="M170" s="103" t="e">
        <f t="shared" ca="1" si="37"/>
        <v>#REF!</v>
      </c>
      <c r="N170" s="104" t="e">
        <f t="shared" ca="1" si="38"/>
        <v>#REF!</v>
      </c>
    </row>
    <row r="171" spans="1:14">
      <c r="A171" s="95">
        <v>133</v>
      </c>
      <c r="B171" s="102" t="e">
        <f t="shared" ca="1" si="26"/>
        <v>#REF!</v>
      </c>
      <c r="C171" s="102" t="e">
        <f t="shared" ca="1" si="27"/>
        <v>#REF!</v>
      </c>
      <c r="D171" s="102" t="e">
        <f t="shared" ca="1" si="28"/>
        <v>#REF!</v>
      </c>
      <c r="E171" s="102" t="e">
        <f t="shared" ca="1" si="29"/>
        <v>#REF!</v>
      </c>
      <c r="F171" s="102" t="e">
        <f t="shared" ca="1" si="30"/>
        <v>#REF!</v>
      </c>
      <c r="G171" s="103">
        <f t="shared" ca="1" si="31"/>
        <v>0.4345407633892901</v>
      </c>
      <c r="H171" s="103">
        <f t="shared" ca="1" si="32"/>
        <v>0.21997060818804387</v>
      </c>
      <c r="I171" s="103" t="e">
        <f t="shared" ca="1" si="33"/>
        <v>#REF!</v>
      </c>
      <c r="J171" s="103" t="e">
        <f t="shared" ca="1" si="34"/>
        <v>#REF!</v>
      </c>
      <c r="K171" s="103" t="e">
        <f t="shared" ca="1" si="35"/>
        <v>#REF!</v>
      </c>
      <c r="L171" s="103" t="e">
        <f t="shared" ca="1" si="36"/>
        <v>#REF!</v>
      </c>
      <c r="M171" s="103" t="e">
        <f t="shared" ca="1" si="37"/>
        <v>#REF!</v>
      </c>
      <c r="N171" s="104" t="e">
        <f t="shared" ca="1" si="38"/>
        <v>#REF!</v>
      </c>
    </row>
    <row r="172" spans="1:14">
      <c r="A172" s="96">
        <v>134</v>
      </c>
      <c r="B172" s="102" t="e">
        <f t="shared" ca="1" si="26"/>
        <v>#REF!</v>
      </c>
      <c r="C172" s="102" t="e">
        <f t="shared" ca="1" si="27"/>
        <v>#REF!</v>
      </c>
      <c r="D172" s="102" t="e">
        <f t="shared" ca="1" si="28"/>
        <v>#REF!</v>
      </c>
      <c r="E172" s="102" t="e">
        <f t="shared" ca="1" si="29"/>
        <v>#REF!</v>
      </c>
      <c r="F172" s="102" t="e">
        <f t="shared" ca="1" si="30"/>
        <v>#REF!</v>
      </c>
      <c r="G172" s="103">
        <f t="shared" ca="1" si="31"/>
        <v>0.41043226126054477</v>
      </c>
      <c r="H172" s="103">
        <f t="shared" ca="1" si="32"/>
        <v>0.21624404467665392</v>
      </c>
      <c r="I172" s="103" t="e">
        <f t="shared" ca="1" si="33"/>
        <v>#REF!</v>
      </c>
      <c r="J172" s="103" t="e">
        <f t="shared" ca="1" si="34"/>
        <v>#REF!</v>
      </c>
      <c r="K172" s="103" t="e">
        <f t="shared" ca="1" si="35"/>
        <v>#REF!</v>
      </c>
      <c r="L172" s="103" t="e">
        <f t="shared" ca="1" si="36"/>
        <v>#REF!</v>
      </c>
      <c r="M172" s="103" t="e">
        <f t="shared" ca="1" si="37"/>
        <v>#REF!</v>
      </c>
      <c r="N172" s="104" t="e">
        <f t="shared" ca="1" si="38"/>
        <v>#REF!</v>
      </c>
    </row>
    <row r="173" spans="1:14">
      <c r="A173" s="95">
        <v>135</v>
      </c>
      <c r="B173" s="102" t="e">
        <f t="shared" ca="1" si="26"/>
        <v>#REF!</v>
      </c>
      <c r="C173" s="102" t="e">
        <f t="shared" ca="1" si="27"/>
        <v>#REF!</v>
      </c>
      <c r="D173" s="102" t="e">
        <f t="shared" ca="1" si="28"/>
        <v>#REF!</v>
      </c>
      <c r="E173" s="102" t="e">
        <f t="shared" ca="1" si="29"/>
        <v>#REF!</v>
      </c>
      <c r="F173" s="102" t="e">
        <f t="shared" ca="1" si="30"/>
        <v>#REF!</v>
      </c>
      <c r="G173" s="103">
        <f t="shared" ca="1" si="31"/>
        <v>0.41638546335017307</v>
      </c>
      <c r="H173" s="103">
        <f t="shared" ca="1" si="32"/>
        <v>0.22709143557219719</v>
      </c>
      <c r="I173" s="103" t="e">
        <f t="shared" ca="1" si="33"/>
        <v>#REF!</v>
      </c>
      <c r="J173" s="103" t="e">
        <f t="shared" ca="1" si="34"/>
        <v>#REF!</v>
      </c>
      <c r="K173" s="103" t="e">
        <f t="shared" ca="1" si="35"/>
        <v>#REF!</v>
      </c>
      <c r="L173" s="103" t="e">
        <f t="shared" ca="1" si="36"/>
        <v>#REF!</v>
      </c>
      <c r="M173" s="103" t="e">
        <f t="shared" ca="1" si="37"/>
        <v>#REF!</v>
      </c>
      <c r="N173" s="104" t="e">
        <f t="shared" ca="1" si="38"/>
        <v>#REF!</v>
      </c>
    </row>
    <row r="174" spans="1:14">
      <c r="A174" s="96">
        <v>136</v>
      </c>
      <c r="B174" s="102" t="e">
        <f t="shared" ca="1" si="26"/>
        <v>#REF!</v>
      </c>
      <c r="C174" s="102" t="e">
        <f t="shared" ca="1" si="27"/>
        <v>#REF!</v>
      </c>
      <c r="D174" s="102" t="e">
        <f t="shared" ca="1" si="28"/>
        <v>#REF!</v>
      </c>
      <c r="E174" s="102" t="e">
        <f t="shared" ca="1" si="29"/>
        <v>#REF!</v>
      </c>
      <c r="F174" s="102" t="e">
        <f t="shared" ca="1" si="30"/>
        <v>#REF!</v>
      </c>
      <c r="G174" s="103">
        <f t="shared" ca="1" si="31"/>
        <v>0.4496277051164061</v>
      </c>
      <c r="H174" s="103">
        <f t="shared" ca="1" si="32"/>
        <v>0.20026665786959491</v>
      </c>
      <c r="I174" s="103" t="e">
        <f t="shared" ca="1" si="33"/>
        <v>#REF!</v>
      </c>
      <c r="J174" s="103" t="e">
        <f t="shared" ca="1" si="34"/>
        <v>#REF!</v>
      </c>
      <c r="K174" s="103" t="e">
        <f t="shared" ca="1" si="35"/>
        <v>#REF!</v>
      </c>
      <c r="L174" s="103" t="e">
        <f t="shared" ca="1" si="36"/>
        <v>#REF!</v>
      </c>
      <c r="M174" s="103" t="e">
        <f t="shared" ca="1" si="37"/>
        <v>#REF!</v>
      </c>
      <c r="N174" s="104" t="e">
        <f t="shared" ca="1" si="38"/>
        <v>#REF!</v>
      </c>
    </row>
    <row r="175" spans="1:14">
      <c r="A175" s="95">
        <v>137</v>
      </c>
      <c r="B175" s="102" t="e">
        <f t="shared" ca="1" si="26"/>
        <v>#REF!</v>
      </c>
      <c r="C175" s="102" t="e">
        <f t="shared" ca="1" si="27"/>
        <v>#REF!</v>
      </c>
      <c r="D175" s="102" t="e">
        <f t="shared" ca="1" si="28"/>
        <v>#REF!</v>
      </c>
      <c r="E175" s="102" t="e">
        <f t="shared" ca="1" si="29"/>
        <v>#REF!</v>
      </c>
      <c r="F175" s="102" t="e">
        <f t="shared" ca="1" si="30"/>
        <v>#REF!</v>
      </c>
      <c r="G175" s="103">
        <f t="shared" ca="1" si="31"/>
        <v>0.44565004735146302</v>
      </c>
      <c r="H175" s="103">
        <f t="shared" ca="1" si="32"/>
        <v>0.18739385575640585</v>
      </c>
      <c r="I175" s="103" t="e">
        <f t="shared" ca="1" si="33"/>
        <v>#REF!</v>
      </c>
      <c r="J175" s="103" t="e">
        <f t="shared" ca="1" si="34"/>
        <v>#REF!</v>
      </c>
      <c r="K175" s="103" t="e">
        <f t="shared" ca="1" si="35"/>
        <v>#REF!</v>
      </c>
      <c r="L175" s="103" t="e">
        <f t="shared" ca="1" si="36"/>
        <v>#REF!</v>
      </c>
      <c r="M175" s="103" t="e">
        <f t="shared" ca="1" si="37"/>
        <v>#REF!</v>
      </c>
      <c r="N175" s="104" t="e">
        <f t="shared" ca="1" si="38"/>
        <v>#REF!</v>
      </c>
    </row>
    <row r="176" spans="1:14">
      <c r="A176" s="96">
        <v>138</v>
      </c>
      <c r="B176" s="102" t="e">
        <f t="shared" ca="1" si="26"/>
        <v>#REF!</v>
      </c>
      <c r="C176" s="102" t="e">
        <f t="shared" ca="1" si="27"/>
        <v>#REF!</v>
      </c>
      <c r="D176" s="102" t="e">
        <f t="shared" ca="1" si="28"/>
        <v>#REF!</v>
      </c>
      <c r="E176" s="102" t="e">
        <f t="shared" ca="1" si="29"/>
        <v>#REF!</v>
      </c>
      <c r="F176" s="102" t="e">
        <f t="shared" ca="1" si="30"/>
        <v>#REF!</v>
      </c>
      <c r="G176" s="103">
        <f t="shared" ca="1" si="31"/>
        <v>0.4529264738318276</v>
      </c>
      <c r="H176" s="103">
        <f t="shared" ca="1" si="32"/>
        <v>0.20155659144268187</v>
      </c>
      <c r="I176" s="103" t="e">
        <f t="shared" ca="1" si="33"/>
        <v>#REF!</v>
      </c>
      <c r="J176" s="103" t="e">
        <f t="shared" ca="1" si="34"/>
        <v>#REF!</v>
      </c>
      <c r="K176" s="103" t="e">
        <f t="shared" ca="1" si="35"/>
        <v>#REF!</v>
      </c>
      <c r="L176" s="103" t="e">
        <f t="shared" ca="1" si="36"/>
        <v>#REF!</v>
      </c>
      <c r="M176" s="103" t="e">
        <f t="shared" ca="1" si="37"/>
        <v>#REF!</v>
      </c>
      <c r="N176" s="104" t="e">
        <f t="shared" ca="1" si="38"/>
        <v>#REF!</v>
      </c>
    </row>
    <row r="177" spans="1:14">
      <c r="A177" s="95">
        <v>139</v>
      </c>
      <c r="B177" s="102" t="e">
        <f t="shared" ca="1" si="26"/>
        <v>#REF!</v>
      </c>
      <c r="C177" s="102" t="e">
        <f t="shared" ca="1" si="27"/>
        <v>#REF!</v>
      </c>
      <c r="D177" s="102" t="e">
        <f t="shared" ca="1" si="28"/>
        <v>#REF!</v>
      </c>
      <c r="E177" s="102" t="e">
        <f t="shared" ca="1" si="29"/>
        <v>#REF!</v>
      </c>
      <c r="F177" s="102" t="e">
        <f t="shared" ca="1" si="30"/>
        <v>#REF!</v>
      </c>
      <c r="G177" s="103">
        <f t="shared" ca="1" si="31"/>
        <v>0.43526882779984233</v>
      </c>
      <c r="H177" s="103">
        <f t="shared" ca="1" si="32"/>
        <v>0.22090631967721958</v>
      </c>
      <c r="I177" s="103" t="e">
        <f t="shared" ca="1" si="33"/>
        <v>#REF!</v>
      </c>
      <c r="J177" s="103" t="e">
        <f t="shared" ca="1" si="34"/>
        <v>#REF!</v>
      </c>
      <c r="K177" s="103" t="e">
        <f t="shared" ca="1" si="35"/>
        <v>#REF!</v>
      </c>
      <c r="L177" s="103" t="e">
        <f t="shared" ca="1" si="36"/>
        <v>#REF!</v>
      </c>
      <c r="M177" s="103" t="e">
        <f t="shared" ca="1" si="37"/>
        <v>#REF!</v>
      </c>
      <c r="N177" s="104" t="e">
        <f t="shared" ca="1" si="38"/>
        <v>#REF!</v>
      </c>
    </row>
    <row r="178" spans="1:14">
      <c r="A178" s="96">
        <v>140</v>
      </c>
      <c r="B178" s="102" t="e">
        <f t="shared" ca="1" si="26"/>
        <v>#REF!</v>
      </c>
      <c r="C178" s="102" t="e">
        <f t="shared" ca="1" si="27"/>
        <v>#REF!</v>
      </c>
      <c r="D178" s="102" t="e">
        <f t="shared" ca="1" si="28"/>
        <v>#REF!</v>
      </c>
      <c r="E178" s="102" t="e">
        <f t="shared" ca="1" si="29"/>
        <v>#REF!</v>
      </c>
      <c r="F178" s="102" t="e">
        <f t="shared" ca="1" si="30"/>
        <v>#REF!</v>
      </c>
      <c r="G178" s="103">
        <f t="shared" ca="1" si="31"/>
        <v>0.45143453021564744</v>
      </c>
      <c r="H178" s="103">
        <f t="shared" ca="1" si="32"/>
        <v>0.2029075727645987</v>
      </c>
      <c r="I178" s="103" t="e">
        <f t="shared" ca="1" si="33"/>
        <v>#REF!</v>
      </c>
      <c r="J178" s="103" t="e">
        <f t="shared" ca="1" si="34"/>
        <v>#REF!</v>
      </c>
      <c r="K178" s="103" t="e">
        <f t="shared" ca="1" si="35"/>
        <v>#REF!</v>
      </c>
      <c r="L178" s="103" t="e">
        <f t="shared" ca="1" si="36"/>
        <v>#REF!</v>
      </c>
      <c r="M178" s="103" t="e">
        <f t="shared" ca="1" si="37"/>
        <v>#REF!</v>
      </c>
      <c r="N178" s="104" t="e">
        <f t="shared" ca="1" si="38"/>
        <v>#REF!</v>
      </c>
    </row>
    <row r="179" spans="1:14">
      <c r="A179" s="95">
        <v>141</v>
      </c>
      <c r="B179" s="102" t="e">
        <f t="shared" ca="1" si="26"/>
        <v>#REF!</v>
      </c>
      <c r="C179" s="102" t="e">
        <f t="shared" ca="1" si="27"/>
        <v>#REF!</v>
      </c>
      <c r="D179" s="102" t="e">
        <f t="shared" ca="1" si="28"/>
        <v>#REF!</v>
      </c>
      <c r="E179" s="102" t="e">
        <f t="shared" ca="1" si="29"/>
        <v>#REF!</v>
      </c>
      <c r="F179" s="102" t="e">
        <f t="shared" ca="1" si="30"/>
        <v>#REF!</v>
      </c>
      <c r="G179" s="103">
        <f t="shared" ca="1" si="31"/>
        <v>0.41189639421853513</v>
      </c>
      <c r="H179" s="103">
        <f t="shared" ca="1" si="32"/>
        <v>0.18006696141277323</v>
      </c>
      <c r="I179" s="103" t="e">
        <f t="shared" ca="1" si="33"/>
        <v>#REF!</v>
      </c>
      <c r="J179" s="103" t="e">
        <f t="shared" ca="1" si="34"/>
        <v>#REF!</v>
      </c>
      <c r="K179" s="103" t="e">
        <f t="shared" ca="1" si="35"/>
        <v>#REF!</v>
      </c>
      <c r="L179" s="103" t="e">
        <f t="shared" ca="1" si="36"/>
        <v>#REF!</v>
      </c>
      <c r="M179" s="103" t="e">
        <f t="shared" ca="1" si="37"/>
        <v>#REF!</v>
      </c>
      <c r="N179" s="104" t="e">
        <f t="shared" ca="1" si="38"/>
        <v>#REF!</v>
      </c>
    </row>
    <row r="180" spans="1:14">
      <c r="A180" s="96">
        <v>142</v>
      </c>
      <c r="B180" s="102" t="e">
        <f t="shared" ca="1" si="26"/>
        <v>#REF!</v>
      </c>
      <c r="C180" s="102" t="e">
        <f t="shared" ca="1" si="27"/>
        <v>#REF!</v>
      </c>
      <c r="D180" s="102" t="e">
        <f t="shared" ca="1" si="28"/>
        <v>#REF!</v>
      </c>
      <c r="E180" s="102" t="e">
        <f t="shared" ca="1" si="29"/>
        <v>#REF!</v>
      </c>
      <c r="F180" s="102" t="e">
        <f t="shared" ca="1" si="30"/>
        <v>#REF!</v>
      </c>
      <c r="G180" s="103">
        <f t="shared" ca="1" si="31"/>
        <v>0.44700009927158252</v>
      </c>
      <c r="H180" s="103">
        <f t="shared" ca="1" si="32"/>
        <v>0.19945014851234616</v>
      </c>
      <c r="I180" s="103" t="e">
        <f t="shared" ca="1" si="33"/>
        <v>#REF!</v>
      </c>
      <c r="J180" s="103" t="e">
        <f t="shared" ca="1" si="34"/>
        <v>#REF!</v>
      </c>
      <c r="K180" s="103" t="e">
        <f t="shared" ca="1" si="35"/>
        <v>#REF!</v>
      </c>
      <c r="L180" s="103" t="e">
        <f t="shared" ca="1" si="36"/>
        <v>#REF!</v>
      </c>
      <c r="M180" s="103" t="e">
        <f t="shared" ca="1" si="37"/>
        <v>#REF!</v>
      </c>
      <c r="N180" s="104" t="e">
        <f t="shared" ca="1" si="38"/>
        <v>#REF!</v>
      </c>
    </row>
    <row r="181" spans="1:14">
      <c r="A181" s="95">
        <v>143</v>
      </c>
      <c r="B181" s="102" t="e">
        <f t="shared" ca="1" si="26"/>
        <v>#REF!</v>
      </c>
      <c r="C181" s="102" t="e">
        <f t="shared" ca="1" si="27"/>
        <v>#REF!</v>
      </c>
      <c r="D181" s="102" t="e">
        <f t="shared" ca="1" si="28"/>
        <v>#REF!</v>
      </c>
      <c r="E181" s="102" t="e">
        <f t="shared" ca="1" si="29"/>
        <v>#REF!</v>
      </c>
      <c r="F181" s="102" t="e">
        <f t="shared" ca="1" si="30"/>
        <v>#REF!</v>
      </c>
      <c r="G181" s="103">
        <f t="shared" ca="1" si="31"/>
        <v>0.42431738931664575</v>
      </c>
      <c r="H181" s="103">
        <f t="shared" ca="1" si="32"/>
        <v>0.19810203660013034</v>
      </c>
      <c r="I181" s="103" t="e">
        <f t="shared" ca="1" si="33"/>
        <v>#REF!</v>
      </c>
      <c r="J181" s="103" t="e">
        <f t="shared" ca="1" si="34"/>
        <v>#REF!</v>
      </c>
      <c r="K181" s="103" t="e">
        <f t="shared" ca="1" si="35"/>
        <v>#REF!</v>
      </c>
      <c r="L181" s="103" t="e">
        <f t="shared" ca="1" si="36"/>
        <v>#REF!</v>
      </c>
      <c r="M181" s="103" t="e">
        <f t="shared" ca="1" si="37"/>
        <v>#REF!</v>
      </c>
      <c r="N181" s="104" t="e">
        <f t="shared" ca="1" si="38"/>
        <v>#REF!</v>
      </c>
    </row>
    <row r="182" spans="1:14">
      <c r="A182" s="96">
        <v>144</v>
      </c>
      <c r="B182" s="102" t="e">
        <f t="shared" ca="1" si="26"/>
        <v>#REF!</v>
      </c>
      <c r="C182" s="102" t="e">
        <f t="shared" ca="1" si="27"/>
        <v>#REF!</v>
      </c>
      <c r="D182" s="102" t="e">
        <f t="shared" ca="1" si="28"/>
        <v>#REF!</v>
      </c>
      <c r="E182" s="102" t="e">
        <f t="shared" ca="1" si="29"/>
        <v>#REF!</v>
      </c>
      <c r="F182" s="102" t="e">
        <f t="shared" ca="1" si="30"/>
        <v>#REF!</v>
      </c>
      <c r="G182" s="103">
        <f t="shared" ca="1" si="31"/>
        <v>0.44258020234106643</v>
      </c>
      <c r="H182" s="103">
        <f t="shared" ca="1" si="32"/>
        <v>0.18910943733735724</v>
      </c>
      <c r="I182" s="103" t="e">
        <f t="shared" ca="1" si="33"/>
        <v>#REF!</v>
      </c>
      <c r="J182" s="103" t="e">
        <f t="shared" ca="1" si="34"/>
        <v>#REF!</v>
      </c>
      <c r="K182" s="103" t="e">
        <f t="shared" ca="1" si="35"/>
        <v>#REF!</v>
      </c>
      <c r="L182" s="103" t="e">
        <f t="shared" ca="1" si="36"/>
        <v>#REF!</v>
      </c>
      <c r="M182" s="103" t="e">
        <f t="shared" ca="1" si="37"/>
        <v>#REF!</v>
      </c>
      <c r="N182" s="104" t="e">
        <f t="shared" ca="1" si="38"/>
        <v>#REF!</v>
      </c>
    </row>
    <row r="183" spans="1:14">
      <c r="A183" s="95">
        <v>145</v>
      </c>
      <c r="B183" s="102" t="e">
        <f t="shared" ca="1" si="26"/>
        <v>#REF!</v>
      </c>
      <c r="C183" s="102" t="e">
        <f t="shared" ca="1" si="27"/>
        <v>#REF!</v>
      </c>
      <c r="D183" s="102" t="e">
        <f t="shared" ca="1" si="28"/>
        <v>#REF!</v>
      </c>
      <c r="E183" s="102" t="e">
        <f t="shared" ca="1" si="29"/>
        <v>#REF!</v>
      </c>
      <c r="F183" s="102" t="e">
        <f t="shared" ca="1" si="30"/>
        <v>#REF!</v>
      </c>
      <c r="G183" s="103">
        <f t="shared" ca="1" si="31"/>
        <v>0.39774582816018161</v>
      </c>
      <c r="H183" s="103">
        <f t="shared" ca="1" si="32"/>
        <v>0.17842535657782399</v>
      </c>
      <c r="I183" s="103" t="e">
        <f t="shared" ca="1" si="33"/>
        <v>#REF!</v>
      </c>
      <c r="J183" s="103" t="e">
        <f t="shared" ca="1" si="34"/>
        <v>#REF!</v>
      </c>
      <c r="K183" s="103" t="e">
        <f t="shared" ca="1" si="35"/>
        <v>#REF!</v>
      </c>
      <c r="L183" s="103" t="e">
        <f t="shared" ca="1" si="36"/>
        <v>#REF!</v>
      </c>
      <c r="M183" s="103" t="e">
        <f t="shared" ca="1" si="37"/>
        <v>#REF!</v>
      </c>
      <c r="N183" s="104" t="e">
        <f t="shared" ca="1" si="38"/>
        <v>#REF!</v>
      </c>
    </row>
    <row r="184" spans="1:14">
      <c r="A184" s="96">
        <v>146</v>
      </c>
      <c r="B184" s="102" t="e">
        <f t="shared" ca="1" si="26"/>
        <v>#REF!</v>
      </c>
      <c r="C184" s="102" t="e">
        <f t="shared" ca="1" si="27"/>
        <v>#REF!</v>
      </c>
      <c r="D184" s="102" t="e">
        <f t="shared" ca="1" si="28"/>
        <v>#REF!</v>
      </c>
      <c r="E184" s="102" t="e">
        <f t="shared" ca="1" si="29"/>
        <v>#REF!</v>
      </c>
      <c r="F184" s="102" t="e">
        <f t="shared" ca="1" si="30"/>
        <v>#REF!</v>
      </c>
      <c r="G184" s="103">
        <f t="shared" ca="1" si="31"/>
        <v>0.42465429271014388</v>
      </c>
      <c r="H184" s="103">
        <f t="shared" ca="1" si="32"/>
        <v>0.21320976946946696</v>
      </c>
      <c r="I184" s="103" t="e">
        <f t="shared" ca="1" si="33"/>
        <v>#REF!</v>
      </c>
      <c r="J184" s="103" t="e">
        <f t="shared" ca="1" si="34"/>
        <v>#REF!</v>
      </c>
      <c r="K184" s="103" t="e">
        <f t="shared" ca="1" si="35"/>
        <v>#REF!</v>
      </c>
      <c r="L184" s="103" t="e">
        <f t="shared" ca="1" si="36"/>
        <v>#REF!</v>
      </c>
      <c r="M184" s="103" t="e">
        <f t="shared" ca="1" si="37"/>
        <v>#REF!</v>
      </c>
      <c r="N184" s="104" t="e">
        <f t="shared" ca="1" si="38"/>
        <v>#REF!</v>
      </c>
    </row>
    <row r="185" spans="1:14">
      <c r="A185" s="95">
        <v>147</v>
      </c>
      <c r="B185" s="102" t="e">
        <f t="shared" ca="1" si="26"/>
        <v>#REF!</v>
      </c>
      <c r="C185" s="102" t="e">
        <f t="shared" ca="1" si="27"/>
        <v>#REF!</v>
      </c>
      <c r="D185" s="102" t="e">
        <f t="shared" ca="1" si="28"/>
        <v>#REF!</v>
      </c>
      <c r="E185" s="102" t="e">
        <f t="shared" ca="1" si="29"/>
        <v>#REF!</v>
      </c>
      <c r="F185" s="102" t="e">
        <f t="shared" ca="1" si="30"/>
        <v>#REF!</v>
      </c>
      <c r="G185" s="103">
        <f t="shared" ca="1" si="31"/>
        <v>0.40340210339834554</v>
      </c>
      <c r="H185" s="103">
        <f t="shared" ca="1" si="32"/>
        <v>0.2124617917977055</v>
      </c>
      <c r="I185" s="103" t="e">
        <f t="shared" ca="1" si="33"/>
        <v>#REF!</v>
      </c>
      <c r="J185" s="103" t="e">
        <f t="shared" ca="1" si="34"/>
        <v>#REF!</v>
      </c>
      <c r="K185" s="103" t="e">
        <f t="shared" ca="1" si="35"/>
        <v>#REF!</v>
      </c>
      <c r="L185" s="103" t="e">
        <f t="shared" ca="1" si="36"/>
        <v>#REF!</v>
      </c>
      <c r="M185" s="103" t="e">
        <f t="shared" ca="1" si="37"/>
        <v>#REF!</v>
      </c>
      <c r="N185" s="104" t="e">
        <f t="shared" ca="1" si="38"/>
        <v>#REF!</v>
      </c>
    </row>
    <row r="186" spans="1:14">
      <c r="A186" s="96">
        <v>148</v>
      </c>
      <c r="B186" s="102" t="e">
        <f t="shared" ca="1" si="26"/>
        <v>#REF!</v>
      </c>
      <c r="C186" s="102" t="e">
        <f t="shared" ca="1" si="27"/>
        <v>#REF!</v>
      </c>
      <c r="D186" s="102" t="e">
        <f t="shared" ca="1" si="28"/>
        <v>#REF!</v>
      </c>
      <c r="E186" s="102" t="e">
        <f t="shared" ca="1" si="29"/>
        <v>#REF!</v>
      </c>
      <c r="F186" s="102" t="e">
        <f t="shared" ca="1" si="30"/>
        <v>#REF!</v>
      </c>
      <c r="G186" s="103">
        <f t="shared" ca="1" si="31"/>
        <v>0.39443507287769142</v>
      </c>
      <c r="H186" s="103">
        <f t="shared" ca="1" si="32"/>
        <v>0.18031265221090573</v>
      </c>
      <c r="I186" s="103" t="e">
        <f t="shared" ca="1" si="33"/>
        <v>#REF!</v>
      </c>
      <c r="J186" s="103" t="e">
        <f t="shared" ca="1" si="34"/>
        <v>#REF!</v>
      </c>
      <c r="K186" s="103" t="e">
        <f t="shared" ca="1" si="35"/>
        <v>#REF!</v>
      </c>
      <c r="L186" s="103" t="e">
        <f t="shared" ca="1" si="36"/>
        <v>#REF!</v>
      </c>
      <c r="M186" s="103" t="e">
        <f t="shared" ca="1" si="37"/>
        <v>#REF!</v>
      </c>
      <c r="N186" s="104" t="e">
        <f t="shared" ca="1" si="38"/>
        <v>#REF!</v>
      </c>
    </row>
    <row r="187" spans="1:14">
      <c r="A187" s="95">
        <v>149</v>
      </c>
      <c r="B187" s="102" t="e">
        <f t="shared" ca="1" si="26"/>
        <v>#REF!</v>
      </c>
      <c r="C187" s="102" t="e">
        <f t="shared" ca="1" si="27"/>
        <v>#REF!</v>
      </c>
      <c r="D187" s="102" t="e">
        <f t="shared" ca="1" si="28"/>
        <v>#REF!</v>
      </c>
      <c r="E187" s="102" t="e">
        <f t="shared" ca="1" si="29"/>
        <v>#REF!</v>
      </c>
      <c r="F187" s="102" t="e">
        <f t="shared" ca="1" si="30"/>
        <v>#REF!</v>
      </c>
      <c r="G187" s="103">
        <f t="shared" ca="1" si="31"/>
        <v>0.3969963741854674</v>
      </c>
      <c r="H187" s="103">
        <f t="shared" ca="1" si="32"/>
        <v>0.18040559206922596</v>
      </c>
      <c r="I187" s="103" t="e">
        <f t="shared" ca="1" si="33"/>
        <v>#REF!</v>
      </c>
      <c r="J187" s="103" t="e">
        <f t="shared" ca="1" si="34"/>
        <v>#REF!</v>
      </c>
      <c r="K187" s="103" t="e">
        <f t="shared" ca="1" si="35"/>
        <v>#REF!</v>
      </c>
      <c r="L187" s="103" t="e">
        <f t="shared" ca="1" si="36"/>
        <v>#REF!</v>
      </c>
      <c r="M187" s="103" t="e">
        <f t="shared" ca="1" si="37"/>
        <v>#REF!</v>
      </c>
      <c r="N187" s="104" t="e">
        <f t="shared" ca="1" si="38"/>
        <v>#REF!</v>
      </c>
    </row>
    <row r="188" spans="1:14">
      <c r="A188" s="96">
        <v>150</v>
      </c>
      <c r="B188" s="102" t="e">
        <f t="shared" ca="1" si="26"/>
        <v>#REF!</v>
      </c>
      <c r="C188" s="102" t="e">
        <f t="shared" ca="1" si="27"/>
        <v>#REF!</v>
      </c>
      <c r="D188" s="102" t="e">
        <f t="shared" ca="1" si="28"/>
        <v>#REF!</v>
      </c>
      <c r="E188" s="102" t="e">
        <f t="shared" ca="1" si="29"/>
        <v>#REF!</v>
      </c>
      <c r="F188" s="102" t="e">
        <f t="shared" ca="1" si="30"/>
        <v>#REF!</v>
      </c>
      <c r="G188" s="103">
        <f t="shared" ca="1" si="31"/>
        <v>0.44269660193255217</v>
      </c>
      <c r="H188" s="103">
        <f t="shared" ca="1" si="32"/>
        <v>0.19747065833547306</v>
      </c>
      <c r="I188" s="103" t="e">
        <f t="shared" ca="1" si="33"/>
        <v>#REF!</v>
      </c>
      <c r="J188" s="103" t="e">
        <f t="shared" ca="1" si="34"/>
        <v>#REF!</v>
      </c>
      <c r="K188" s="103" t="e">
        <f t="shared" ca="1" si="35"/>
        <v>#REF!</v>
      </c>
      <c r="L188" s="103" t="e">
        <f t="shared" ca="1" si="36"/>
        <v>#REF!</v>
      </c>
      <c r="M188" s="103" t="e">
        <f t="shared" ca="1" si="37"/>
        <v>#REF!</v>
      </c>
      <c r="N188" s="104" t="e">
        <f t="shared" ca="1" si="38"/>
        <v>#REF!</v>
      </c>
    </row>
    <row r="189" spans="1:14">
      <c r="A189" s="95">
        <v>151</v>
      </c>
      <c r="B189" s="102" t="e">
        <f t="shared" ca="1" si="26"/>
        <v>#REF!</v>
      </c>
      <c r="C189" s="102" t="e">
        <f t="shared" ca="1" si="27"/>
        <v>#REF!</v>
      </c>
      <c r="D189" s="102" t="e">
        <f t="shared" ca="1" si="28"/>
        <v>#REF!</v>
      </c>
      <c r="E189" s="102" t="e">
        <f t="shared" ca="1" si="29"/>
        <v>#REF!</v>
      </c>
      <c r="F189" s="102" t="e">
        <f t="shared" ca="1" si="30"/>
        <v>#REF!</v>
      </c>
      <c r="G189" s="103">
        <f t="shared" ca="1" si="31"/>
        <v>0.41245308332793412</v>
      </c>
      <c r="H189" s="103">
        <f t="shared" ca="1" si="32"/>
        <v>0.21136582758020608</v>
      </c>
      <c r="I189" s="103" t="e">
        <f t="shared" ca="1" si="33"/>
        <v>#REF!</v>
      </c>
      <c r="J189" s="103" t="e">
        <f t="shared" ca="1" si="34"/>
        <v>#REF!</v>
      </c>
      <c r="K189" s="103" t="e">
        <f t="shared" ca="1" si="35"/>
        <v>#REF!</v>
      </c>
      <c r="L189" s="103" t="e">
        <f t="shared" ca="1" si="36"/>
        <v>#REF!</v>
      </c>
      <c r="M189" s="103" t="e">
        <f t="shared" ca="1" si="37"/>
        <v>#REF!</v>
      </c>
      <c r="N189" s="104" t="e">
        <f t="shared" ca="1" si="38"/>
        <v>#REF!</v>
      </c>
    </row>
    <row r="190" spans="1:14">
      <c r="A190" s="96">
        <v>152</v>
      </c>
      <c r="B190" s="102" t="e">
        <f t="shared" ca="1" si="26"/>
        <v>#REF!</v>
      </c>
      <c r="C190" s="102" t="e">
        <f t="shared" ca="1" si="27"/>
        <v>#REF!</v>
      </c>
      <c r="D190" s="102" t="e">
        <f t="shared" ca="1" si="28"/>
        <v>#REF!</v>
      </c>
      <c r="E190" s="102" t="e">
        <f t="shared" ca="1" si="29"/>
        <v>#REF!</v>
      </c>
      <c r="F190" s="102" t="e">
        <f t="shared" ca="1" si="30"/>
        <v>#REF!</v>
      </c>
      <c r="G190" s="103">
        <f t="shared" ca="1" si="31"/>
        <v>0.47831417902083473</v>
      </c>
      <c r="H190" s="103">
        <f t="shared" ca="1" si="32"/>
        <v>0.20696225583051922</v>
      </c>
      <c r="I190" s="103" t="e">
        <f t="shared" ca="1" si="33"/>
        <v>#REF!</v>
      </c>
      <c r="J190" s="103" t="e">
        <f t="shared" ca="1" si="34"/>
        <v>#REF!</v>
      </c>
      <c r="K190" s="103" t="e">
        <f t="shared" ca="1" si="35"/>
        <v>#REF!</v>
      </c>
      <c r="L190" s="103" t="e">
        <f t="shared" ca="1" si="36"/>
        <v>#REF!</v>
      </c>
      <c r="M190" s="103" t="e">
        <f t="shared" ca="1" si="37"/>
        <v>#REF!</v>
      </c>
      <c r="N190" s="104" t="e">
        <f t="shared" ca="1" si="38"/>
        <v>#REF!</v>
      </c>
    </row>
    <row r="191" spans="1:14">
      <c r="A191" s="95">
        <v>153</v>
      </c>
      <c r="B191" s="102" t="e">
        <f t="shared" ca="1" si="26"/>
        <v>#REF!</v>
      </c>
      <c r="C191" s="102" t="e">
        <f t="shared" ca="1" si="27"/>
        <v>#REF!</v>
      </c>
      <c r="D191" s="102" t="e">
        <f t="shared" ca="1" si="28"/>
        <v>#REF!</v>
      </c>
      <c r="E191" s="102" t="e">
        <f t="shared" ca="1" si="29"/>
        <v>#REF!</v>
      </c>
      <c r="F191" s="102" t="e">
        <f t="shared" ca="1" si="30"/>
        <v>#REF!</v>
      </c>
      <c r="G191" s="103">
        <f t="shared" ca="1" si="31"/>
        <v>0.44898451516739252</v>
      </c>
      <c r="H191" s="103">
        <f t="shared" ca="1" si="32"/>
        <v>0.17861335368980069</v>
      </c>
      <c r="I191" s="103" t="e">
        <f t="shared" ca="1" si="33"/>
        <v>#REF!</v>
      </c>
      <c r="J191" s="103" t="e">
        <f t="shared" ca="1" si="34"/>
        <v>#REF!</v>
      </c>
      <c r="K191" s="103" t="e">
        <f t="shared" ca="1" si="35"/>
        <v>#REF!</v>
      </c>
      <c r="L191" s="103" t="e">
        <f t="shared" ca="1" si="36"/>
        <v>#REF!</v>
      </c>
      <c r="M191" s="103" t="e">
        <f t="shared" ca="1" si="37"/>
        <v>#REF!</v>
      </c>
      <c r="N191" s="104" t="e">
        <f t="shared" ca="1" si="38"/>
        <v>#REF!</v>
      </c>
    </row>
    <row r="192" spans="1:14">
      <c r="A192" s="96">
        <v>154</v>
      </c>
      <c r="B192" s="102" t="e">
        <f t="shared" ca="1" si="26"/>
        <v>#REF!</v>
      </c>
      <c r="C192" s="102" t="e">
        <f t="shared" ca="1" si="27"/>
        <v>#REF!</v>
      </c>
      <c r="D192" s="102" t="e">
        <f t="shared" ca="1" si="28"/>
        <v>#REF!</v>
      </c>
      <c r="E192" s="102" t="e">
        <f t="shared" ca="1" si="29"/>
        <v>#REF!</v>
      </c>
      <c r="F192" s="102" t="e">
        <f t="shared" ca="1" si="30"/>
        <v>#REF!</v>
      </c>
      <c r="G192" s="103">
        <f t="shared" ca="1" si="31"/>
        <v>0.40985001165809748</v>
      </c>
      <c r="H192" s="103">
        <f t="shared" ca="1" si="32"/>
        <v>0.16594049156787863</v>
      </c>
      <c r="I192" s="103" t="e">
        <f t="shared" ca="1" si="33"/>
        <v>#REF!</v>
      </c>
      <c r="J192" s="103" t="e">
        <f t="shared" ca="1" si="34"/>
        <v>#REF!</v>
      </c>
      <c r="K192" s="103" t="e">
        <f t="shared" ca="1" si="35"/>
        <v>#REF!</v>
      </c>
      <c r="L192" s="103" t="e">
        <f t="shared" ca="1" si="36"/>
        <v>#REF!</v>
      </c>
      <c r="M192" s="103" t="e">
        <f t="shared" ca="1" si="37"/>
        <v>#REF!</v>
      </c>
      <c r="N192" s="104" t="e">
        <f t="shared" ca="1" si="38"/>
        <v>#REF!</v>
      </c>
    </row>
    <row r="193" spans="1:14">
      <c r="A193" s="95">
        <v>155</v>
      </c>
      <c r="B193" s="102" t="e">
        <f t="shared" ca="1" si="26"/>
        <v>#REF!</v>
      </c>
      <c r="C193" s="102" t="e">
        <f t="shared" ca="1" si="27"/>
        <v>#REF!</v>
      </c>
      <c r="D193" s="102" t="e">
        <f t="shared" ca="1" si="28"/>
        <v>#REF!</v>
      </c>
      <c r="E193" s="102" t="e">
        <f t="shared" ca="1" si="29"/>
        <v>#REF!</v>
      </c>
      <c r="F193" s="102" t="e">
        <f t="shared" ca="1" si="30"/>
        <v>#REF!</v>
      </c>
      <c r="G193" s="103">
        <f t="shared" ca="1" si="31"/>
        <v>0.46503614552497058</v>
      </c>
      <c r="H193" s="103">
        <f t="shared" ca="1" si="32"/>
        <v>0.20005008743015792</v>
      </c>
      <c r="I193" s="103" t="e">
        <f t="shared" ca="1" si="33"/>
        <v>#REF!</v>
      </c>
      <c r="J193" s="103" t="e">
        <f t="shared" ca="1" si="34"/>
        <v>#REF!</v>
      </c>
      <c r="K193" s="103" t="e">
        <f t="shared" ca="1" si="35"/>
        <v>#REF!</v>
      </c>
      <c r="L193" s="103" t="e">
        <f t="shared" ca="1" si="36"/>
        <v>#REF!</v>
      </c>
      <c r="M193" s="103" t="e">
        <f t="shared" ca="1" si="37"/>
        <v>#REF!</v>
      </c>
      <c r="N193" s="104" t="e">
        <f t="shared" ca="1" si="38"/>
        <v>#REF!</v>
      </c>
    </row>
    <row r="194" spans="1:14">
      <c r="A194" s="96">
        <v>156</v>
      </c>
      <c r="B194" s="102" t="e">
        <f t="shared" ca="1" si="26"/>
        <v>#REF!</v>
      </c>
      <c r="C194" s="102" t="e">
        <f t="shared" ca="1" si="27"/>
        <v>#REF!</v>
      </c>
      <c r="D194" s="102" t="e">
        <f t="shared" ca="1" si="28"/>
        <v>#REF!</v>
      </c>
      <c r="E194" s="102" t="e">
        <f t="shared" ca="1" si="29"/>
        <v>#REF!</v>
      </c>
      <c r="F194" s="102" t="e">
        <f t="shared" ca="1" si="30"/>
        <v>#REF!</v>
      </c>
      <c r="G194" s="103">
        <f t="shared" ca="1" si="31"/>
        <v>0.46025993973417684</v>
      </c>
      <c r="H194" s="103">
        <f t="shared" ca="1" si="32"/>
        <v>0.20816160549421517</v>
      </c>
      <c r="I194" s="103" t="e">
        <f t="shared" ca="1" si="33"/>
        <v>#REF!</v>
      </c>
      <c r="J194" s="103" t="e">
        <f t="shared" ca="1" si="34"/>
        <v>#REF!</v>
      </c>
      <c r="K194" s="103" t="e">
        <f t="shared" ca="1" si="35"/>
        <v>#REF!</v>
      </c>
      <c r="L194" s="103" t="e">
        <f t="shared" ca="1" si="36"/>
        <v>#REF!</v>
      </c>
      <c r="M194" s="103" t="e">
        <f t="shared" ca="1" si="37"/>
        <v>#REF!</v>
      </c>
      <c r="N194" s="104" t="e">
        <f t="shared" ca="1" si="38"/>
        <v>#REF!</v>
      </c>
    </row>
    <row r="195" spans="1:14">
      <c r="A195" s="95">
        <v>157</v>
      </c>
      <c r="B195" s="102" t="e">
        <f t="shared" ca="1" si="26"/>
        <v>#REF!</v>
      </c>
      <c r="C195" s="102" t="e">
        <f t="shared" ca="1" si="27"/>
        <v>#REF!</v>
      </c>
      <c r="D195" s="102" t="e">
        <f t="shared" ca="1" si="28"/>
        <v>#REF!</v>
      </c>
      <c r="E195" s="102" t="e">
        <f t="shared" ca="1" si="29"/>
        <v>#REF!</v>
      </c>
      <c r="F195" s="102" t="e">
        <f t="shared" ca="1" si="30"/>
        <v>#REF!</v>
      </c>
      <c r="G195" s="103">
        <f t="shared" ca="1" si="31"/>
        <v>0.47139738391368069</v>
      </c>
      <c r="H195" s="103">
        <f t="shared" ca="1" si="32"/>
        <v>0.19020619003662115</v>
      </c>
      <c r="I195" s="103" t="e">
        <f t="shared" ca="1" si="33"/>
        <v>#REF!</v>
      </c>
      <c r="J195" s="103" t="e">
        <f t="shared" ca="1" si="34"/>
        <v>#REF!</v>
      </c>
      <c r="K195" s="103" t="e">
        <f t="shared" ca="1" si="35"/>
        <v>#REF!</v>
      </c>
      <c r="L195" s="103" t="e">
        <f t="shared" ca="1" si="36"/>
        <v>#REF!</v>
      </c>
      <c r="M195" s="103" t="e">
        <f t="shared" ca="1" si="37"/>
        <v>#REF!</v>
      </c>
      <c r="N195" s="104" t="e">
        <f t="shared" ca="1" si="38"/>
        <v>#REF!</v>
      </c>
    </row>
    <row r="196" spans="1:14">
      <c r="A196" s="96">
        <v>158</v>
      </c>
      <c r="B196" s="102" t="e">
        <f t="shared" ca="1" si="26"/>
        <v>#REF!</v>
      </c>
      <c r="C196" s="102" t="e">
        <f t="shared" ca="1" si="27"/>
        <v>#REF!</v>
      </c>
      <c r="D196" s="102" t="e">
        <f t="shared" ca="1" si="28"/>
        <v>#REF!</v>
      </c>
      <c r="E196" s="102" t="e">
        <f t="shared" ca="1" si="29"/>
        <v>#REF!</v>
      </c>
      <c r="F196" s="102" t="e">
        <f t="shared" ca="1" si="30"/>
        <v>#REF!</v>
      </c>
      <c r="G196" s="103">
        <f t="shared" ca="1" si="31"/>
        <v>0.50859820225164576</v>
      </c>
      <c r="H196" s="103">
        <f t="shared" ca="1" si="32"/>
        <v>0.21115681160953992</v>
      </c>
      <c r="I196" s="103" t="e">
        <f t="shared" ca="1" si="33"/>
        <v>#REF!</v>
      </c>
      <c r="J196" s="103" t="e">
        <f t="shared" ca="1" si="34"/>
        <v>#REF!</v>
      </c>
      <c r="K196" s="103" t="e">
        <f t="shared" ca="1" si="35"/>
        <v>#REF!</v>
      </c>
      <c r="L196" s="103" t="e">
        <f t="shared" ca="1" si="36"/>
        <v>#REF!</v>
      </c>
      <c r="M196" s="103" t="e">
        <f t="shared" ca="1" si="37"/>
        <v>#REF!</v>
      </c>
      <c r="N196" s="104" t="e">
        <f t="shared" ca="1" si="38"/>
        <v>#REF!</v>
      </c>
    </row>
    <row r="197" spans="1:14">
      <c r="A197" s="95">
        <v>159</v>
      </c>
      <c r="B197" s="102" t="e">
        <f t="shared" ca="1" si="26"/>
        <v>#REF!</v>
      </c>
      <c r="C197" s="102" t="e">
        <f t="shared" ca="1" si="27"/>
        <v>#REF!</v>
      </c>
      <c r="D197" s="102" t="e">
        <f t="shared" ca="1" si="28"/>
        <v>#REF!</v>
      </c>
      <c r="E197" s="102" t="e">
        <f t="shared" ca="1" si="29"/>
        <v>#REF!</v>
      </c>
      <c r="F197" s="102" t="e">
        <f t="shared" ca="1" si="30"/>
        <v>#REF!</v>
      </c>
      <c r="G197" s="103">
        <f t="shared" ca="1" si="31"/>
        <v>0.41916298688514392</v>
      </c>
      <c r="H197" s="103">
        <f t="shared" ca="1" si="32"/>
        <v>0.20911187184945704</v>
      </c>
      <c r="I197" s="103" t="e">
        <f t="shared" ca="1" si="33"/>
        <v>#REF!</v>
      </c>
      <c r="J197" s="103" t="e">
        <f t="shared" ca="1" si="34"/>
        <v>#REF!</v>
      </c>
      <c r="K197" s="103" t="e">
        <f t="shared" ca="1" si="35"/>
        <v>#REF!</v>
      </c>
      <c r="L197" s="103" t="e">
        <f t="shared" ca="1" si="36"/>
        <v>#REF!</v>
      </c>
      <c r="M197" s="103" t="e">
        <f t="shared" ca="1" si="37"/>
        <v>#REF!</v>
      </c>
      <c r="N197" s="104" t="e">
        <f t="shared" ca="1" si="38"/>
        <v>#REF!</v>
      </c>
    </row>
    <row r="198" spans="1:14">
      <c r="A198" s="96">
        <v>160</v>
      </c>
      <c r="B198" s="102" t="e">
        <f t="shared" ca="1" si="26"/>
        <v>#REF!</v>
      </c>
      <c r="C198" s="102" t="e">
        <f t="shared" ca="1" si="27"/>
        <v>#REF!</v>
      </c>
      <c r="D198" s="102" t="e">
        <f t="shared" ca="1" si="28"/>
        <v>#REF!</v>
      </c>
      <c r="E198" s="102" t="e">
        <f t="shared" ca="1" si="29"/>
        <v>#REF!</v>
      </c>
      <c r="F198" s="102" t="e">
        <f t="shared" ca="1" si="30"/>
        <v>#REF!</v>
      </c>
      <c r="G198" s="103">
        <f t="shared" ca="1" si="31"/>
        <v>0.41104942160901303</v>
      </c>
      <c r="H198" s="103">
        <f t="shared" ca="1" si="32"/>
        <v>0.18964771166527486</v>
      </c>
      <c r="I198" s="103" t="e">
        <f t="shared" ca="1" si="33"/>
        <v>#REF!</v>
      </c>
      <c r="J198" s="103" t="e">
        <f t="shared" ca="1" si="34"/>
        <v>#REF!</v>
      </c>
      <c r="K198" s="103" t="e">
        <f t="shared" ca="1" si="35"/>
        <v>#REF!</v>
      </c>
      <c r="L198" s="103" t="e">
        <f t="shared" ca="1" si="36"/>
        <v>#REF!</v>
      </c>
      <c r="M198" s="103" t="e">
        <f t="shared" ca="1" si="37"/>
        <v>#REF!</v>
      </c>
      <c r="N198" s="104" t="e">
        <f t="shared" ca="1" si="38"/>
        <v>#REF!</v>
      </c>
    </row>
    <row r="199" spans="1:14">
      <c r="A199" s="95">
        <v>161</v>
      </c>
      <c r="B199" s="102" t="e">
        <f t="shared" ca="1" si="26"/>
        <v>#REF!</v>
      </c>
      <c r="C199" s="102" t="e">
        <f t="shared" ca="1" si="27"/>
        <v>#REF!</v>
      </c>
      <c r="D199" s="102" t="e">
        <f t="shared" ca="1" si="28"/>
        <v>#REF!</v>
      </c>
      <c r="E199" s="102" t="e">
        <f t="shared" ca="1" si="29"/>
        <v>#REF!</v>
      </c>
      <c r="F199" s="102" t="e">
        <f t="shared" ca="1" si="30"/>
        <v>#REF!</v>
      </c>
      <c r="G199" s="103">
        <f t="shared" ca="1" si="31"/>
        <v>0.43892984135101604</v>
      </c>
      <c r="H199" s="103">
        <f t="shared" ca="1" si="32"/>
        <v>0.1989042491404556</v>
      </c>
      <c r="I199" s="103" t="e">
        <f t="shared" ca="1" si="33"/>
        <v>#REF!</v>
      </c>
      <c r="J199" s="103" t="e">
        <f t="shared" ca="1" si="34"/>
        <v>#REF!</v>
      </c>
      <c r="K199" s="103" t="e">
        <f t="shared" ca="1" si="35"/>
        <v>#REF!</v>
      </c>
      <c r="L199" s="103" t="e">
        <f t="shared" ca="1" si="36"/>
        <v>#REF!</v>
      </c>
      <c r="M199" s="103" t="e">
        <f t="shared" ca="1" si="37"/>
        <v>#REF!</v>
      </c>
      <c r="N199" s="104" t="e">
        <f t="shared" ca="1" si="38"/>
        <v>#REF!</v>
      </c>
    </row>
    <row r="200" spans="1:14">
      <c r="A200" s="96">
        <v>162</v>
      </c>
      <c r="B200" s="102" t="e">
        <f t="shared" ca="1" si="26"/>
        <v>#REF!</v>
      </c>
      <c r="C200" s="102" t="e">
        <f t="shared" ca="1" si="27"/>
        <v>#REF!</v>
      </c>
      <c r="D200" s="102" t="e">
        <f t="shared" ca="1" si="28"/>
        <v>#REF!</v>
      </c>
      <c r="E200" s="102" t="e">
        <f t="shared" ca="1" si="29"/>
        <v>#REF!</v>
      </c>
      <c r="F200" s="102" t="e">
        <f t="shared" ca="1" si="30"/>
        <v>#REF!</v>
      </c>
      <c r="G200" s="103">
        <f t="shared" ca="1" si="31"/>
        <v>0.44125508967176014</v>
      </c>
      <c r="H200" s="103">
        <f t="shared" ca="1" si="32"/>
        <v>0.20727054234934425</v>
      </c>
      <c r="I200" s="103" t="e">
        <f t="shared" ca="1" si="33"/>
        <v>#REF!</v>
      </c>
      <c r="J200" s="103" t="e">
        <f t="shared" ca="1" si="34"/>
        <v>#REF!</v>
      </c>
      <c r="K200" s="103" t="e">
        <f t="shared" ca="1" si="35"/>
        <v>#REF!</v>
      </c>
      <c r="L200" s="103" t="e">
        <f t="shared" ca="1" si="36"/>
        <v>#REF!</v>
      </c>
      <c r="M200" s="103" t="e">
        <f t="shared" ca="1" si="37"/>
        <v>#REF!</v>
      </c>
      <c r="N200" s="104" t="e">
        <f t="shared" ca="1" si="38"/>
        <v>#REF!</v>
      </c>
    </row>
    <row r="201" spans="1:14">
      <c r="A201" s="95">
        <v>163</v>
      </c>
      <c r="B201" s="102" t="e">
        <f t="shared" ca="1" si="26"/>
        <v>#REF!</v>
      </c>
      <c r="C201" s="102" t="e">
        <f t="shared" ca="1" si="27"/>
        <v>#REF!</v>
      </c>
      <c r="D201" s="102" t="e">
        <f t="shared" ca="1" si="28"/>
        <v>#REF!</v>
      </c>
      <c r="E201" s="102" t="e">
        <f t="shared" ca="1" si="29"/>
        <v>#REF!</v>
      </c>
      <c r="F201" s="102" t="e">
        <f t="shared" ca="1" si="30"/>
        <v>#REF!</v>
      </c>
      <c r="G201" s="103">
        <f t="shared" ca="1" si="31"/>
        <v>0.39682814496451257</v>
      </c>
      <c r="H201" s="103">
        <f t="shared" ca="1" si="32"/>
        <v>0.19933803855269355</v>
      </c>
      <c r="I201" s="103" t="e">
        <f t="shared" ca="1" si="33"/>
        <v>#REF!</v>
      </c>
      <c r="J201" s="103" t="e">
        <f t="shared" ca="1" si="34"/>
        <v>#REF!</v>
      </c>
      <c r="K201" s="103" t="e">
        <f t="shared" ca="1" si="35"/>
        <v>#REF!</v>
      </c>
      <c r="L201" s="103" t="e">
        <f t="shared" ca="1" si="36"/>
        <v>#REF!</v>
      </c>
      <c r="M201" s="103" t="e">
        <f t="shared" ca="1" si="37"/>
        <v>#REF!</v>
      </c>
      <c r="N201" s="104" t="e">
        <f t="shared" ca="1" si="38"/>
        <v>#REF!</v>
      </c>
    </row>
    <row r="202" spans="1:14">
      <c r="A202" s="96">
        <v>164</v>
      </c>
      <c r="B202" s="102" t="e">
        <f t="shared" ca="1" si="26"/>
        <v>#REF!</v>
      </c>
      <c r="C202" s="102" t="e">
        <f t="shared" ca="1" si="27"/>
        <v>#REF!</v>
      </c>
      <c r="D202" s="102" t="e">
        <f t="shared" ca="1" si="28"/>
        <v>#REF!</v>
      </c>
      <c r="E202" s="102" t="e">
        <f t="shared" ca="1" si="29"/>
        <v>#REF!</v>
      </c>
      <c r="F202" s="102" t="e">
        <f t="shared" ca="1" si="30"/>
        <v>#REF!</v>
      </c>
      <c r="G202" s="103">
        <f t="shared" ca="1" si="31"/>
        <v>0.43846241309040185</v>
      </c>
      <c r="H202" s="103">
        <f t="shared" ca="1" si="32"/>
        <v>0.2108273854548561</v>
      </c>
      <c r="I202" s="103" t="e">
        <f t="shared" ca="1" si="33"/>
        <v>#REF!</v>
      </c>
      <c r="J202" s="103" t="e">
        <f t="shared" ca="1" si="34"/>
        <v>#REF!</v>
      </c>
      <c r="K202" s="103" t="e">
        <f t="shared" ca="1" si="35"/>
        <v>#REF!</v>
      </c>
      <c r="L202" s="103" t="e">
        <f t="shared" ca="1" si="36"/>
        <v>#REF!</v>
      </c>
      <c r="M202" s="103" t="e">
        <f t="shared" ca="1" si="37"/>
        <v>#REF!</v>
      </c>
      <c r="N202" s="104" t="e">
        <f t="shared" ca="1" si="38"/>
        <v>#REF!</v>
      </c>
    </row>
    <row r="203" spans="1:14">
      <c r="A203" s="95">
        <v>165</v>
      </c>
      <c r="B203" s="102" t="e">
        <f t="shared" ca="1" si="26"/>
        <v>#REF!</v>
      </c>
      <c r="C203" s="102" t="e">
        <f t="shared" ca="1" si="27"/>
        <v>#REF!</v>
      </c>
      <c r="D203" s="102" t="e">
        <f t="shared" ca="1" si="28"/>
        <v>#REF!</v>
      </c>
      <c r="E203" s="102" t="e">
        <f t="shared" ca="1" si="29"/>
        <v>#REF!</v>
      </c>
      <c r="F203" s="102" t="e">
        <f t="shared" ca="1" si="30"/>
        <v>#REF!</v>
      </c>
      <c r="G203" s="103">
        <f t="shared" ca="1" si="31"/>
        <v>0.44498764745111674</v>
      </c>
      <c r="H203" s="103">
        <f t="shared" ca="1" si="32"/>
        <v>0.1948574511730406</v>
      </c>
      <c r="I203" s="103" t="e">
        <f t="shared" ca="1" si="33"/>
        <v>#REF!</v>
      </c>
      <c r="J203" s="103" t="e">
        <f t="shared" ca="1" si="34"/>
        <v>#REF!</v>
      </c>
      <c r="K203" s="103" t="e">
        <f t="shared" ca="1" si="35"/>
        <v>#REF!</v>
      </c>
      <c r="L203" s="103" t="e">
        <f t="shared" ca="1" si="36"/>
        <v>#REF!</v>
      </c>
      <c r="M203" s="103" t="e">
        <f t="shared" ca="1" si="37"/>
        <v>#REF!</v>
      </c>
      <c r="N203" s="104" t="e">
        <f t="shared" ca="1" si="38"/>
        <v>#REF!</v>
      </c>
    </row>
    <row r="204" spans="1:14">
      <c r="A204" s="96">
        <v>166</v>
      </c>
      <c r="B204" s="102" t="e">
        <f t="shared" ca="1" si="26"/>
        <v>#REF!</v>
      </c>
      <c r="C204" s="102" t="e">
        <f t="shared" ca="1" si="27"/>
        <v>#REF!</v>
      </c>
      <c r="D204" s="102" t="e">
        <f t="shared" ca="1" si="28"/>
        <v>#REF!</v>
      </c>
      <c r="E204" s="102" t="e">
        <f t="shared" ca="1" si="29"/>
        <v>#REF!</v>
      </c>
      <c r="F204" s="102" t="e">
        <f t="shared" ca="1" si="30"/>
        <v>#REF!</v>
      </c>
      <c r="G204" s="103">
        <f t="shared" ca="1" si="31"/>
        <v>0.44092002958744714</v>
      </c>
      <c r="H204" s="103">
        <f t="shared" ca="1" si="32"/>
        <v>0.18203023625504539</v>
      </c>
      <c r="I204" s="103" t="e">
        <f t="shared" ca="1" si="33"/>
        <v>#REF!</v>
      </c>
      <c r="J204" s="103" t="e">
        <f t="shared" ca="1" si="34"/>
        <v>#REF!</v>
      </c>
      <c r="K204" s="103" t="e">
        <f t="shared" ca="1" si="35"/>
        <v>#REF!</v>
      </c>
      <c r="L204" s="103" t="e">
        <f t="shared" ca="1" si="36"/>
        <v>#REF!</v>
      </c>
      <c r="M204" s="103" t="e">
        <f t="shared" ca="1" si="37"/>
        <v>#REF!</v>
      </c>
      <c r="N204" s="104" t="e">
        <f t="shared" ca="1" si="38"/>
        <v>#REF!</v>
      </c>
    </row>
    <row r="205" spans="1:14">
      <c r="A205" s="95">
        <v>167</v>
      </c>
      <c r="B205" s="102" t="e">
        <f t="shared" ca="1" si="26"/>
        <v>#REF!</v>
      </c>
      <c r="C205" s="102" t="e">
        <f t="shared" ca="1" si="27"/>
        <v>#REF!</v>
      </c>
      <c r="D205" s="102" t="e">
        <f t="shared" ca="1" si="28"/>
        <v>#REF!</v>
      </c>
      <c r="E205" s="102" t="e">
        <f t="shared" ca="1" si="29"/>
        <v>#REF!</v>
      </c>
      <c r="F205" s="102" t="e">
        <f t="shared" ca="1" si="30"/>
        <v>#REF!</v>
      </c>
      <c r="G205" s="103">
        <f t="shared" ca="1" si="31"/>
        <v>0.431963326182704</v>
      </c>
      <c r="H205" s="103">
        <f t="shared" ca="1" si="32"/>
        <v>0.21998409498196619</v>
      </c>
      <c r="I205" s="103" t="e">
        <f t="shared" ca="1" si="33"/>
        <v>#REF!</v>
      </c>
      <c r="J205" s="103" t="e">
        <f t="shared" ca="1" si="34"/>
        <v>#REF!</v>
      </c>
      <c r="K205" s="103" t="e">
        <f t="shared" ca="1" si="35"/>
        <v>#REF!</v>
      </c>
      <c r="L205" s="103" t="e">
        <f t="shared" ca="1" si="36"/>
        <v>#REF!</v>
      </c>
      <c r="M205" s="103" t="e">
        <f t="shared" ca="1" si="37"/>
        <v>#REF!</v>
      </c>
      <c r="N205" s="104" t="e">
        <f t="shared" ca="1" si="38"/>
        <v>#REF!</v>
      </c>
    </row>
    <row r="206" spans="1:14">
      <c r="A206" s="96">
        <v>168</v>
      </c>
      <c r="B206" s="102" t="e">
        <f t="shared" ca="1" si="26"/>
        <v>#REF!</v>
      </c>
      <c r="C206" s="102" t="e">
        <f t="shared" ca="1" si="27"/>
        <v>#REF!</v>
      </c>
      <c r="D206" s="102" t="e">
        <f t="shared" ca="1" si="28"/>
        <v>#REF!</v>
      </c>
      <c r="E206" s="102" t="e">
        <f t="shared" ca="1" si="29"/>
        <v>#REF!</v>
      </c>
      <c r="F206" s="102" t="e">
        <f t="shared" ca="1" si="30"/>
        <v>#REF!</v>
      </c>
      <c r="G206" s="103">
        <f t="shared" ca="1" si="31"/>
        <v>0.45560858184039588</v>
      </c>
      <c r="H206" s="103">
        <f t="shared" ca="1" si="32"/>
        <v>0.21202996125273843</v>
      </c>
      <c r="I206" s="103" t="e">
        <f t="shared" ca="1" si="33"/>
        <v>#REF!</v>
      </c>
      <c r="J206" s="103" t="e">
        <f t="shared" ca="1" si="34"/>
        <v>#REF!</v>
      </c>
      <c r="K206" s="103" t="e">
        <f t="shared" ca="1" si="35"/>
        <v>#REF!</v>
      </c>
      <c r="L206" s="103" t="e">
        <f t="shared" ca="1" si="36"/>
        <v>#REF!</v>
      </c>
      <c r="M206" s="103" t="e">
        <f t="shared" ca="1" si="37"/>
        <v>#REF!</v>
      </c>
      <c r="N206" s="104" t="e">
        <f t="shared" ca="1" si="38"/>
        <v>#REF!</v>
      </c>
    </row>
    <row r="207" spans="1:14">
      <c r="A207" s="95">
        <v>169</v>
      </c>
      <c r="B207" s="102" t="e">
        <f t="shared" ca="1" si="26"/>
        <v>#REF!</v>
      </c>
      <c r="C207" s="102" t="e">
        <f t="shared" ca="1" si="27"/>
        <v>#REF!</v>
      </c>
      <c r="D207" s="102" t="e">
        <f t="shared" ca="1" si="28"/>
        <v>#REF!</v>
      </c>
      <c r="E207" s="102" t="e">
        <f t="shared" ca="1" si="29"/>
        <v>#REF!</v>
      </c>
      <c r="F207" s="102" t="e">
        <f t="shared" ca="1" si="30"/>
        <v>#REF!</v>
      </c>
      <c r="G207" s="103">
        <f t="shared" ca="1" si="31"/>
        <v>0.42054374273306383</v>
      </c>
      <c r="H207" s="103">
        <f t="shared" ca="1" si="32"/>
        <v>0.2183298237736036</v>
      </c>
      <c r="I207" s="103" t="e">
        <f t="shared" ca="1" si="33"/>
        <v>#REF!</v>
      </c>
      <c r="J207" s="103" t="e">
        <f t="shared" ca="1" si="34"/>
        <v>#REF!</v>
      </c>
      <c r="K207" s="103" t="e">
        <f t="shared" ca="1" si="35"/>
        <v>#REF!</v>
      </c>
      <c r="L207" s="103" t="e">
        <f t="shared" ca="1" si="36"/>
        <v>#REF!</v>
      </c>
      <c r="M207" s="103" t="e">
        <f t="shared" ca="1" si="37"/>
        <v>#REF!</v>
      </c>
      <c r="N207" s="104" t="e">
        <f t="shared" ca="1" si="38"/>
        <v>#REF!</v>
      </c>
    </row>
    <row r="208" spans="1:14">
      <c r="A208" s="96">
        <v>170</v>
      </c>
      <c r="B208" s="102" t="e">
        <f t="shared" ca="1" si="26"/>
        <v>#REF!</v>
      </c>
      <c r="C208" s="102" t="e">
        <f t="shared" ca="1" si="27"/>
        <v>#REF!</v>
      </c>
      <c r="D208" s="102" t="e">
        <f t="shared" ca="1" si="28"/>
        <v>#REF!</v>
      </c>
      <c r="E208" s="102" t="e">
        <f t="shared" ca="1" si="29"/>
        <v>#REF!</v>
      </c>
      <c r="F208" s="102" t="e">
        <f t="shared" ca="1" si="30"/>
        <v>#REF!</v>
      </c>
      <c r="G208" s="103">
        <f t="shared" ca="1" si="31"/>
        <v>0.45170723430633303</v>
      </c>
      <c r="H208" s="103">
        <f t="shared" ca="1" si="32"/>
        <v>0.21856353770818901</v>
      </c>
      <c r="I208" s="103" t="e">
        <f t="shared" ca="1" si="33"/>
        <v>#REF!</v>
      </c>
      <c r="J208" s="103" t="e">
        <f t="shared" ca="1" si="34"/>
        <v>#REF!</v>
      </c>
      <c r="K208" s="103" t="e">
        <f t="shared" ca="1" si="35"/>
        <v>#REF!</v>
      </c>
      <c r="L208" s="103" t="e">
        <f t="shared" ca="1" si="36"/>
        <v>#REF!</v>
      </c>
      <c r="M208" s="103" t="e">
        <f t="shared" ca="1" si="37"/>
        <v>#REF!</v>
      </c>
      <c r="N208" s="104" t="e">
        <f t="shared" ca="1" si="38"/>
        <v>#REF!</v>
      </c>
    </row>
    <row r="209" spans="1:14">
      <c r="A209" s="95">
        <v>171</v>
      </c>
      <c r="B209" s="102" t="e">
        <f t="shared" ca="1" si="26"/>
        <v>#REF!</v>
      </c>
      <c r="C209" s="102" t="e">
        <f t="shared" ca="1" si="27"/>
        <v>#REF!</v>
      </c>
      <c r="D209" s="102" t="e">
        <f t="shared" ca="1" si="28"/>
        <v>#REF!</v>
      </c>
      <c r="E209" s="102" t="e">
        <f t="shared" ca="1" si="29"/>
        <v>#REF!</v>
      </c>
      <c r="F209" s="102" t="e">
        <f t="shared" ca="1" si="30"/>
        <v>#REF!</v>
      </c>
      <c r="G209" s="103">
        <f t="shared" ca="1" si="31"/>
        <v>0.41956231248575299</v>
      </c>
      <c r="H209" s="103">
        <f t="shared" ca="1" si="32"/>
        <v>0.22089668639636439</v>
      </c>
      <c r="I209" s="103" t="e">
        <f t="shared" ca="1" si="33"/>
        <v>#REF!</v>
      </c>
      <c r="J209" s="103" t="e">
        <f t="shared" ca="1" si="34"/>
        <v>#REF!</v>
      </c>
      <c r="K209" s="103" t="e">
        <f t="shared" ca="1" si="35"/>
        <v>#REF!</v>
      </c>
      <c r="L209" s="103" t="e">
        <f t="shared" ca="1" si="36"/>
        <v>#REF!</v>
      </c>
      <c r="M209" s="103" t="e">
        <f t="shared" ca="1" si="37"/>
        <v>#REF!</v>
      </c>
      <c r="N209" s="104" t="e">
        <f t="shared" ca="1" si="38"/>
        <v>#REF!</v>
      </c>
    </row>
    <row r="210" spans="1:14">
      <c r="A210" s="96">
        <v>172</v>
      </c>
      <c r="B210" s="102" t="e">
        <f t="shared" ca="1" si="26"/>
        <v>#REF!</v>
      </c>
      <c r="C210" s="102" t="e">
        <f t="shared" ca="1" si="27"/>
        <v>#REF!</v>
      </c>
      <c r="D210" s="102" t="e">
        <f t="shared" ca="1" si="28"/>
        <v>#REF!</v>
      </c>
      <c r="E210" s="102" t="e">
        <f t="shared" ca="1" si="29"/>
        <v>#REF!</v>
      </c>
      <c r="F210" s="102" t="e">
        <f t="shared" ca="1" si="30"/>
        <v>#REF!</v>
      </c>
      <c r="G210" s="103">
        <f t="shared" ca="1" si="31"/>
        <v>0.42595914511437732</v>
      </c>
      <c r="H210" s="103">
        <f t="shared" ca="1" si="32"/>
        <v>0.20483362090797796</v>
      </c>
      <c r="I210" s="103" t="e">
        <f t="shared" ca="1" si="33"/>
        <v>#REF!</v>
      </c>
      <c r="J210" s="103" t="e">
        <f t="shared" ca="1" si="34"/>
        <v>#REF!</v>
      </c>
      <c r="K210" s="103" t="e">
        <f t="shared" ca="1" si="35"/>
        <v>#REF!</v>
      </c>
      <c r="L210" s="103" t="e">
        <f t="shared" ca="1" si="36"/>
        <v>#REF!</v>
      </c>
      <c r="M210" s="103" t="e">
        <f t="shared" ca="1" si="37"/>
        <v>#REF!</v>
      </c>
      <c r="N210" s="104" t="e">
        <f t="shared" ca="1" si="38"/>
        <v>#REF!</v>
      </c>
    </row>
    <row r="211" spans="1:14">
      <c r="A211" s="95">
        <v>173</v>
      </c>
      <c r="B211" s="102" t="e">
        <f t="shared" ca="1" si="26"/>
        <v>#REF!</v>
      </c>
      <c r="C211" s="102" t="e">
        <f t="shared" ca="1" si="27"/>
        <v>#REF!</v>
      </c>
      <c r="D211" s="102" t="e">
        <f t="shared" ca="1" si="28"/>
        <v>#REF!</v>
      </c>
      <c r="E211" s="102" t="e">
        <f t="shared" ca="1" si="29"/>
        <v>#REF!</v>
      </c>
      <c r="F211" s="102" t="e">
        <f t="shared" ca="1" si="30"/>
        <v>#REF!</v>
      </c>
      <c r="G211" s="103">
        <f t="shared" ca="1" si="31"/>
        <v>0.4308156659663569</v>
      </c>
      <c r="H211" s="103">
        <f t="shared" ca="1" si="32"/>
        <v>0.23072378266459648</v>
      </c>
      <c r="I211" s="103" t="e">
        <f t="shared" ca="1" si="33"/>
        <v>#REF!</v>
      </c>
      <c r="J211" s="103" t="e">
        <f t="shared" ca="1" si="34"/>
        <v>#REF!</v>
      </c>
      <c r="K211" s="103" t="e">
        <f t="shared" ca="1" si="35"/>
        <v>#REF!</v>
      </c>
      <c r="L211" s="103" t="e">
        <f t="shared" ca="1" si="36"/>
        <v>#REF!</v>
      </c>
      <c r="M211" s="103" t="e">
        <f t="shared" ca="1" si="37"/>
        <v>#REF!</v>
      </c>
      <c r="N211" s="104" t="e">
        <f t="shared" ca="1" si="38"/>
        <v>#REF!</v>
      </c>
    </row>
    <row r="212" spans="1:14">
      <c r="A212" s="96">
        <v>174</v>
      </c>
      <c r="B212" s="102" t="e">
        <f t="shared" ca="1" si="26"/>
        <v>#REF!</v>
      </c>
      <c r="C212" s="102" t="e">
        <f t="shared" ca="1" si="27"/>
        <v>#REF!</v>
      </c>
      <c r="D212" s="102" t="e">
        <f t="shared" ca="1" si="28"/>
        <v>#REF!</v>
      </c>
      <c r="E212" s="102" t="e">
        <f t="shared" ca="1" si="29"/>
        <v>#REF!</v>
      </c>
      <c r="F212" s="102" t="e">
        <f t="shared" ca="1" si="30"/>
        <v>#REF!</v>
      </c>
      <c r="G212" s="103">
        <f t="shared" ca="1" si="31"/>
        <v>0.46945903282026918</v>
      </c>
      <c r="H212" s="103">
        <f t="shared" ca="1" si="32"/>
        <v>0.16816141843868129</v>
      </c>
      <c r="I212" s="103" t="e">
        <f t="shared" ca="1" si="33"/>
        <v>#REF!</v>
      </c>
      <c r="J212" s="103" t="e">
        <f t="shared" ca="1" si="34"/>
        <v>#REF!</v>
      </c>
      <c r="K212" s="103" t="e">
        <f t="shared" ca="1" si="35"/>
        <v>#REF!</v>
      </c>
      <c r="L212" s="103" t="e">
        <f t="shared" ca="1" si="36"/>
        <v>#REF!</v>
      </c>
      <c r="M212" s="103" t="e">
        <f t="shared" ca="1" si="37"/>
        <v>#REF!</v>
      </c>
      <c r="N212" s="104" t="e">
        <f t="shared" ca="1" si="38"/>
        <v>#REF!</v>
      </c>
    </row>
    <row r="213" spans="1:14">
      <c r="A213" s="95">
        <v>175</v>
      </c>
      <c r="B213" s="102" t="e">
        <f t="shared" ca="1" si="26"/>
        <v>#REF!</v>
      </c>
      <c r="C213" s="102" t="e">
        <f t="shared" ca="1" si="27"/>
        <v>#REF!</v>
      </c>
      <c r="D213" s="102" t="e">
        <f t="shared" ca="1" si="28"/>
        <v>#REF!</v>
      </c>
      <c r="E213" s="102" t="e">
        <f t="shared" ca="1" si="29"/>
        <v>#REF!</v>
      </c>
      <c r="F213" s="102" t="e">
        <f t="shared" ca="1" si="30"/>
        <v>#REF!</v>
      </c>
      <c r="G213" s="103">
        <f t="shared" ca="1" si="31"/>
        <v>0.40970151206297023</v>
      </c>
      <c r="H213" s="103">
        <f t="shared" ca="1" si="32"/>
        <v>0.19049682079192448</v>
      </c>
      <c r="I213" s="103" t="e">
        <f t="shared" ca="1" si="33"/>
        <v>#REF!</v>
      </c>
      <c r="J213" s="103" t="e">
        <f t="shared" ca="1" si="34"/>
        <v>#REF!</v>
      </c>
      <c r="K213" s="103" t="e">
        <f t="shared" ca="1" si="35"/>
        <v>#REF!</v>
      </c>
      <c r="L213" s="103" t="e">
        <f t="shared" ca="1" si="36"/>
        <v>#REF!</v>
      </c>
      <c r="M213" s="103" t="e">
        <f t="shared" ca="1" si="37"/>
        <v>#REF!</v>
      </c>
      <c r="N213" s="104" t="e">
        <f t="shared" ca="1" si="38"/>
        <v>#REF!</v>
      </c>
    </row>
    <row r="214" spans="1:14">
      <c r="A214" s="96">
        <v>176</v>
      </c>
      <c r="B214" s="102" t="e">
        <f t="shared" ca="1" si="26"/>
        <v>#REF!</v>
      </c>
      <c r="C214" s="102" t="e">
        <f t="shared" ca="1" si="27"/>
        <v>#REF!</v>
      </c>
      <c r="D214" s="102" t="e">
        <f t="shared" ca="1" si="28"/>
        <v>#REF!</v>
      </c>
      <c r="E214" s="102" t="e">
        <f t="shared" ca="1" si="29"/>
        <v>#REF!</v>
      </c>
      <c r="F214" s="102" t="e">
        <f t="shared" ca="1" si="30"/>
        <v>#REF!</v>
      </c>
      <c r="G214" s="103">
        <f t="shared" ca="1" si="31"/>
        <v>0.42544121211186059</v>
      </c>
      <c r="H214" s="103">
        <f t="shared" ca="1" si="32"/>
        <v>0.21792956030121549</v>
      </c>
      <c r="I214" s="103" t="e">
        <f t="shared" ca="1" si="33"/>
        <v>#REF!</v>
      </c>
      <c r="J214" s="103" t="e">
        <f t="shared" ca="1" si="34"/>
        <v>#REF!</v>
      </c>
      <c r="K214" s="103" t="e">
        <f t="shared" ca="1" si="35"/>
        <v>#REF!</v>
      </c>
      <c r="L214" s="103" t="e">
        <f t="shared" ca="1" si="36"/>
        <v>#REF!</v>
      </c>
      <c r="M214" s="103" t="e">
        <f t="shared" ca="1" si="37"/>
        <v>#REF!</v>
      </c>
      <c r="N214" s="104" t="e">
        <f t="shared" ca="1" si="38"/>
        <v>#REF!</v>
      </c>
    </row>
    <row r="215" spans="1:14">
      <c r="A215" s="95">
        <v>177</v>
      </c>
      <c r="B215" s="102" t="e">
        <f t="shared" ca="1" si="26"/>
        <v>#REF!</v>
      </c>
      <c r="C215" s="102" t="e">
        <f t="shared" ca="1" si="27"/>
        <v>#REF!</v>
      </c>
      <c r="D215" s="102" t="e">
        <f t="shared" ca="1" si="28"/>
        <v>#REF!</v>
      </c>
      <c r="E215" s="102" t="e">
        <f t="shared" ca="1" si="29"/>
        <v>#REF!</v>
      </c>
      <c r="F215" s="102" t="e">
        <f t="shared" ca="1" si="30"/>
        <v>#REF!</v>
      </c>
      <c r="G215" s="103">
        <f t="shared" ca="1" si="31"/>
        <v>0.39677625853370468</v>
      </c>
      <c r="H215" s="103">
        <f t="shared" ca="1" si="32"/>
        <v>0.17742029272003174</v>
      </c>
      <c r="I215" s="103" t="e">
        <f t="shared" ca="1" si="33"/>
        <v>#REF!</v>
      </c>
      <c r="J215" s="103" t="e">
        <f t="shared" ca="1" si="34"/>
        <v>#REF!</v>
      </c>
      <c r="K215" s="103" t="e">
        <f t="shared" ca="1" si="35"/>
        <v>#REF!</v>
      </c>
      <c r="L215" s="103" t="e">
        <f t="shared" ca="1" si="36"/>
        <v>#REF!</v>
      </c>
      <c r="M215" s="103" t="e">
        <f t="shared" ca="1" si="37"/>
        <v>#REF!</v>
      </c>
      <c r="N215" s="104" t="e">
        <f t="shared" ca="1" si="38"/>
        <v>#REF!</v>
      </c>
    </row>
    <row r="216" spans="1:14">
      <c r="A216" s="96">
        <v>178</v>
      </c>
      <c r="B216" s="102" t="e">
        <f t="shared" ca="1" si="26"/>
        <v>#REF!</v>
      </c>
      <c r="C216" s="102" t="e">
        <f t="shared" ca="1" si="27"/>
        <v>#REF!</v>
      </c>
      <c r="D216" s="102" t="e">
        <f t="shared" ca="1" si="28"/>
        <v>#REF!</v>
      </c>
      <c r="E216" s="102" t="e">
        <f t="shared" ca="1" si="29"/>
        <v>#REF!</v>
      </c>
      <c r="F216" s="102" t="e">
        <f t="shared" ca="1" si="30"/>
        <v>#REF!</v>
      </c>
      <c r="G216" s="103">
        <f t="shared" ca="1" si="31"/>
        <v>0.4102481044862008</v>
      </c>
      <c r="H216" s="103">
        <f t="shared" ca="1" si="32"/>
        <v>0.20546110592404157</v>
      </c>
      <c r="I216" s="103" t="e">
        <f t="shared" ca="1" si="33"/>
        <v>#REF!</v>
      </c>
      <c r="J216" s="103" t="e">
        <f t="shared" ca="1" si="34"/>
        <v>#REF!</v>
      </c>
      <c r="K216" s="103" t="e">
        <f t="shared" ca="1" si="35"/>
        <v>#REF!</v>
      </c>
      <c r="L216" s="103" t="e">
        <f t="shared" ca="1" si="36"/>
        <v>#REF!</v>
      </c>
      <c r="M216" s="103" t="e">
        <f t="shared" ca="1" si="37"/>
        <v>#REF!</v>
      </c>
      <c r="N216" s="104" t="e">
        <f t="shared" ca="1" si="38"/>
        <v>#REF!</v>
      </c>
    </row>
    <row r="217" spans="1:14">
      <c r="A217" s="95">
        <v>179</v>
      </c>
      <c r="B217" s="102" t="e">
        <f t="shared" ca="1" si="26"/>
        <v>#REF!</v>
      </c>
      <c r="C217" s="102" t="e">
        <f t="shared" ca="1" si="27"/>
        <v>#REF!</v>
      </c>
      <c r="D217" s="102" t="e">
        <f t="shared" ca="1" si="28"/>
        <v>#REF!</v>
      </c>
      <c r="E217" s="102" t="e">
        <f t="shared" ca="1" si="29"/>
        <v>#REF!</v>
      </c>
      <c r="F217" s="102" t="e">
        <f t="shared" ca="1" si="30"/>
        <v>#REF!</v>
      </c>
      <c r="G217" s="103">
        <f t="shared" ca="1" si="31"/>
        <v>0.42338370818447568</v>
      </c>
      <c r="H217" s="103">
        <f t="shared" ca="1" si="32"/>
        <v>0.21973649597945422</v>
      </c>
      <c r="I217" s="103" t="e">
        <f t="shared" ca="1" si="33"/>
        <v>#REF!</v>
      </c>
      <c r="J217" s="103" t="e">
        <f t="shared" ca="1" si="34"/>
        <v>#REF!</v>
      </c>
      <c r="K217" s="103" t="e">
        <f t="shared" ca="1" si="35"/>
        <v>#REF!</v>
      </c>
      <c r="L217" s="103" t="e">
        <f t="shared" ca="1" si="36"/>
        <v>#REF!</v>
      </c>
      <c r="M217" s="103" t="e">
        <f t="shared" ca="1" si="37"/>
        <v>#REF!</v>
      </c>
      <c r="N217" s="104" t="e">
        <f t="shared" ca="1" si="38"/>
        <v>#REF!</v>
      </c>
    </row>
    <row r="218" spans="1:14">
      <c r="A218" s="96">
        <v>180</v>
      </c>
      <c r="B218" s="102" t="e">
        <f t="shared" ca="1" si="26"/>
        <v>#REF!</v>
      </c>
      <c r="C218" s="102" t="e">
        <f t="shared" ca="1" si="27"/>
        <v>#REF!</v>
      </c>
      <c r="D218" s="102" t="e">
        <f t="shared" ca="1" si="28"/>
        <v>#REF!</v>
      </c>
      <c r="E218" s="102" t="e">
        <f t="shared" ca="1" si="29"/>
        <v>#REF!</v>
      </c>
      <c r="F218" s="102" t="e">
        <f t="shared" ca="1" si="30"/>
        <v>#REF!</v>
      </c>
      <c r="G218" s="103">
        <f t="shared" ca="1" si="31"/>
        <v>0.44981053497960299</v>
      </c>
      <c r="H218" s="103">
        <f t="shared" ca="1" si="32"/>
        <v>0.21082190417146154</v>
      </c>
      <c r="I218" s="103" t="e">
        <f t="shared" ca="1" si="33"/>
        <v>#REF!</v>
      </c>
      <c r="J218" s="103" t="e">
        <f t="shared" ca="1" si="34"/>
        <v>#REF!</v>
      </c>
      <c r="K218" s="103" t="e">
        <f t="shared" ca="1" si="35"/>
        <v>#REF!</v>
      </c>
      <c r="L218" s="103" t="e">
        <f t="shared" ca="1" si="36"/>
        <v>#REF!</v>
      </c>
      <c r="M218" s="103" t="e">
        <f t="shared" ca="1" si="37"/>
        <v>#REF!</v>
      </c>
      <c r="N218" s="104" t="e">
        <f t="shared" ca="1" si="38"/>
        <v>#REF!</v>
      </c>
    </row>
    <row r="219" spans="1:14">
      <c r="A219" s="95">
        <v>181</v>
      </c>
      <c r="B219" s="102" t="e">
        <f t="shared" ca="1" si="26"/>
        <v>#REF!</v>
      </c>
      <c r="C219" s="102" t="e">
        <f t="shared" ca="1" si="27"/>
        <v>#REF!</v>
      </c>
      <c r="D219" s="102" t="e">
        <f t="shared" ca="1" si="28"/>
        <v>#REF!</v>
      </c>
      <c r="E219" s="102" t="e">
        <f t="shared" ca="1" si="29"/>
        <v>#REF!</v>
      </c>
      <c r="F219" s="102" t="e">
        <f t="shared" ca="1" si="30"/>
        <v>#REF!</v>
      </c>
      <c r="G219" s="103">
        <f t="shared" ca="1" si="31"/>
        <v>0.46457281270261569</v>
      </c>
      <c r="H219" s="103">
        <f t="shared" ca="1" si="32"/>
        <v>0.21121179680688598</v>
      </c>
      <c r="I219" s="103" t="e">
        <f t="shared" ca="1" si="33"/>
        <v>#REF!</v>
      </c>
      <c r="J219" s="103" t="e">
        <f t="shared" ca="1" si="34"/>
        <v>#REF!</v>
      </c>
      <c r="K219" s="103" t="e">
        <f t="shared" ca="1" si="35"/>
        <v>#REF!</v>
      </c>
      <c r="L219" s="103" t="e">
        <f t="shared" ca="1" si="36"/>
        <v>#REF!</v>
      </c>
      <c r="M219" s="103" t="e">
        <f t="shared" ca="1" si="37"/>
        <v>#REF!</v>
      </c>
      <c r="N219" s="104" t="e">
        <f t="shared" ca="1" si="38"/>
        <v>#REF!</v>
      </c>
    </row>
    <row r="220" spans="1:14">
      <c r="A220" s="96">
        <v>182</v>
      </c>
      <c r="B220" s="102" t="e">
        <f t="shared" ca="1" si="26"/>
        <v>#REF!</v>
      </c>
      <c r="C220" s="102" t="e">
        <f t="shared" ca="1" si="27"/>
        <v>#REF!</v>
      </c>
      <c r="D220" s="102" t="e">
        <f t="shared" ca="1" si="28"/>
        <v>#REF!</v>
      </c>
      <c r="E220" s="102" t="e">
        <f t="shared" ca="1" si="29"/>
        <v>#REF!</v>
      </c>
      <c r="F220" s="102" t="e">
        <f t="shared" ca="1" si="30"/>
        <v>#REF!</v>
      </c>
      <c r="G220" s="103">
        <f t="shared" ca="1" si="31"/>
        <v>0.40239324841914015</v>
      </c>
      <c r="H220" s="103">
        <f t="shared" ca="1" si="32"/>
        <v>0.22228004977883598</v>
      </c>
      <c r="I220" s="103" t="e">
        <f t="shared" ca="1" si="33"/>
        <v>#REF!</v>
      </c>
      <c r="J220" s="103" t="e">
        <f t="shared" ca="1" si="34"/>
        <v>#REF!</v>
      </c>
      <c r="K220" s="103" t="e">
        <f t="shared" ca="1" si="35"/>
        <v>#REF!</v>
      </c>
      <c r="L220" s="103" t="e">
        <f t="shared" ca="1" si="36"/>
        <v>#REF!</v>
      </c>
      <c r="M220" s="103" t="e">
        <f t="shared" ca="1" si="37"/>
        <v>#REF!</v>
      </c>
      <c r="N220" s="104" t="e">
        <f t="shared" ca="1" si="38"/>
        <v>#REF!</v>
      </c>
    </row>
    <row r="221" spans="1:14">
      <c r="A221" s="95">
        <v>183</v>
      </c>
      <c r="B221" s="102" t="e">
        <f t="shared" ca="1" si="26"/>
        <v>#REF!</v>
      </c>
      <c r="C221" s="102" t="e">
        <f t="shared" ca="1" si="27"/>
        <v>#REF!</v>
      </c>
      <c r="D221" s="102" t="e">
        <f t="shared" ca="1" si="28"/>
        <v>#REF!</v>
      </c>
      <c r="E221" s="102" t="e">
        <f t="shared" ca="1" si="29"/>
        <v>#REF!</v>
      </c>
      <c r="F221" s="102" t="e">
        <f t="shared" ca="1" si="30"/>
        <v>#REF!</v>
      </c>
      <c r="G221" s="103">
        <f t="shared" ca="1" si="31"/>
        <v>0.447689130431699</v>
      </c>
      <c r="H221" s="103">
        <f t="shared" ca="1" si="32"/>
        <v>0.18931051008848615</v>
      </c>
      <c r="I221" s="103" t="e">
        <f t="shared" ca="1" si="33"/>
        <v>#REF!</v>
      </c>
      <c r="J221" s="103" t="e">
        <f t="shared" ca="1" si="34"/>
        <v>#REF!</v>
      </c>
      <c r="K221" s="103" t="e">
        <f t="shared" ca="1" si="35"/>
        <v>#REF!</v>
      </c>
      <c r="L221" s="103" t="e">
        <f t="shared" ca="1" si="36"/>
        <v>#REF!</v>
      </c>
      <c r="M221" s="103" t="e">
        <f t="shared" ca="1" si="37"/>
        <v>#REF!</v>
      </c>
      <c r="N221" s="104" t="e">
        <f t="shared" ca="1" si="38"/>
        <v>#REF!</v>
      </c>
    </row>
    <row r="222" spans="1:14">
      <c r="A222" s="96">
        <v>184</v>
      </c>
      <c r="B222" s="102" t="e">
        <f t="shared" ca="1" si="26"/>
        <v>#REF!</v>
      </c>
      <c r="C222" s="102" t="e">
        <f t="shared" ca="1" si="27"/>
        <v>#REF!</v>
      </c>
      <c r="D222" s="102" t="e">
        <f t="shared" ca="1" si="28"/>
        <v>#REF!</v>
      </c>
      <c r="E222" s="102" t="e">
        <f t="shared" ca="1" si="29"/>
        <v>#REF!</v>
      </c>
      <c r="F222" s="102" t="e">
        <f t="shared" ca="1" si="30"/>
        <v>#REF!</v>
      </c>
      <c r="G222" s="103">
        <f t="shared" ca="1" si="31"/>
        <v>0.44875137055095493</v>
      </c>
      <c r="H222" s="103">
        <f t="shared" ca="1" si="32"/>
        <v>0.18936660127182847</v>
      </c>
      <c r="I222" s="103" t="e">
        <f t="shared" ca="1" si="33"/>
        <v>#REF!</v>
      </c>
      <c r="J222" s="103" t="e">
        <f t="shared" ca="1" si="34"/>
        <v>#REF!</v>
      </c>
      <c r="K222" s="103" t="e">
        <f t="shared" ca="1" si="35"/>
        <v>#REF!</v>
      </c>
      <c r="L222" s="103" t="e">
        <f t="shared" ca="1" si="36"/>
        <v>#REF!</v>
      </c>
      <c r="M222" s="103" t="e">
        <f t="shared" ca="1" si="37"/>
        <v>#REF!</v>
      </c>
      <c r="N222" s="104" t="e">
        <f t="shared" ca="1" si="38"/>
        <v>#REF!</v>
      </c>
    </row>
    <row r="223" spans="1:14">
      <c r="A223" s="95">
        <v>185</v>
      </c>
      <c r="B223" s="102" t="e">
        <f t="shared" ca="1" si="26"/>
        <v>#REF!</v>
      </c>
      <c r="C223" s="102" t="e">
        <f t="shared" ca="1" si="27"/>
        <v>#REF!</v>
      </c>
      <c r="D223" s="102" t="e">
        <f t="shared" ca="1" si="28"/>
        <v>#REF!</v>
      </c>
      <c r="E223" s="102" t="e">
        <f t="shared" ca="1" si="29"/>
        <v>#REF!</v>
      </c>
      <c r="F223" s="102" t="e">
        <f t="shared" ca="1" si="30"/>
        <v>#REF!</v>
      </c>
      <c r="G223" s="103">
        <f t="shared" ca="1" si="31"/>
        <v>0.46678802105493788</v>
      </c>
      <c r="H223" s="103">
        <f t="shared" ca="1" si="32"/>
        <v>0.20820690888362611</v>
      </c>
      <c r="I223" s="103" t="e">
        <f t="shared" ca="1" si="33"/>
        <v>#REF!</v>
      </c>
      <c r="J223" s="103" t="e">
        <f t="shared" ca="1" si="34"/>
        <v>#REF!</v>
      </c>
      <c r="K223" s="103" t="e">
        <f t="shared" ca="1" si="35"/>
        <v>#REF!</v>
      </c>
      <c r="L223" s="103" t="e">
        <f t="shared" ca="1" si="36"/>
        <v>#REF!</v>
      </c>
      <c r="M223" s="103" t="e">
        <f t="shared" ca="1" si="37"/>
        <v>#REF!</v>
      </c>
      <c r="N223" s="104" t="e">
        <f t="shared" ca="1" si="38"/>
        <v>#REF!</v>
      </c>
    </row>
    <row r="224" spans="1:14">
      <c r="A224" s="96">
        <v>186</v>
      </c>
      <c r="B224" s="102" t="e">
        <f t="shared" ca="1" si="26"/>
        <v>#REF!</v>
      </c>
      <c r="C224" s="102" t="e">
        <f t="shared" ca="1" si="27"/>
        <v>#REF!</v>
      </c>
      <c r="D224" s="102" t="e">
        <f t="shared" ca="1" si="28"/>
        <v>#REF!</v>
      </c>
      <c r="E224" s="102" t="e">
        <f t="shared" ca="1" si="29"/>
        <v>#REF!</v>
      </c>
      <c r="F224" s="102" t="e">
        <f t="shared" ca="1" si="30"/>
        <v>#REF!</v>
      </c>
      <c r="G224" s="103">
        <f t="shared" ca="1" si="31"/>
        <v>0.44563577925323933</v>
      </c>
      <c r="H224" s="103">
        <f t="shared" ca="1" si="32"/>
        <v>0.21965204741728211</v>
      </c>
      <c r="I224" s="103" t="e">
        <f t="shared" ca="1" si="33"/>
        <v>#REF!</v>
      </c>
      <c r="J224" s="103" t="e">
        <f t="shared" ca="1" si="34"/>
        <v>#REF!</v>
      </c>
      <c r="K224" s="103" t="e">
        <f t="shared" ca="1" si="35"/>
        <v>#REF!</v>
      </c>
      <c r="L224" s="103" t="e">
        <f t="shared" ca="1" si="36"/>
        <v>#REF!</v>
      </c>
      <c r="M224" s="103" t="e">
        <f t="shared" ca="1" si="37"/>
        <v>#REF!</v>
      </c>
      <c r="N224" s="104" t="e">
        <f t="shared" ca="1" si="38"/>
        <v>#REF!</v>
      </c>
    </row>
    <row r="225" spans="1:14">
      <c r="A225" s="95">
        <v>187</v>
      </c>
      <c r="B225" s="102" t="e">
        <f t="shared" ca="1" si="26"/>
        <v>#REF!</v>
      </c>
      <c r="C225" s="102" t="e">
        <f t="shared" ca="1" si="27"/>
        <v>#REF!</v>
      </c>
      <c r="D225" s="102" t="e">
        <f t="shared" ca="1" si="28"/>
        <v>#REF!</v>
      </c>
      <c r="E225" s="102" t="e">
        <f t="shared" ca="1" si="29"/>
        <v>#REF!</v>
      </c>
      <c r="F225" s="102" t="e">
        <f t="shared" ca="1" si="30"/>
        <v>#REF!</v>
      </c>
      <c r="G225" s="103">
        <f t="shared" ca="1" si="31"/>
        <v>0.42986850405747318</v>
      </c>
      <c r="H225" s="103">
        <f t="shared" ca="1" si="32"/>
        <v>0.20528034746948084</v>
      </c>
      <c r="I225" s="103" t="e">
        <f t="shared" ca="1" si="33"/>
        <v>#REF!</v>
      </c>
      <c r="J225" s="103" t="e">
        <f t="shared" ca="1" si="34"/>
        <v>#REF!</v>
      </c>
      <c r="K225" s="103" t="e">
        <f t="shared" ca="1" si="35"/>
        <v>#REF!</v>
      </c>
      <c r="L225" s="103" t="e">
        <f t="shared" ca="1" si="36"/>
        <v>#REF!</v>
      </c>
      <c r="M225" s="103" t="e">
        <f t="shared" ca="1" si="37"/>
        <v>#REF!</v>
      </c>
      <c r="N225" s="104" t="e">
        <f t="shared" ca="1" si="38"/>
        <v>#REF!</v>
      </c>
    </row>
    <row r="226" spans="1:14">
      <c r="A226" s="96">
        <v>188</v>
      </c>
      <c r="B226" s="102" t="e">
        <f t="shared" ca="1" si="26"/>
        <v>#REF!</v>
      </c>
      <c r="C226" s="102" t="e">
        <f t="shared" ca="1" si="27"/>
        <v>#REF!</v>
      </c>
      <c r="D226" s="102" t="e">
        <f t="shared" ca="1" si="28"/>
        <v>#REF!</v>
      </c>
      <c r="E226" s="102" t="e">
        <f t="shared" ca="1" si="29"/>
        <v>#REF!</v>
      </c>
      <c r="F226" s="102" t="e">
        <f t="shared" ca="1" si="30"/>
        <v>#REF!</v>
      </c>
      <c r="G226" s="103">
        <f t="shared" ca="1" si="31"/>
        <v>0.40226788826220172</v>
      </c>
      <c r="H226" s="103">
        <f t="shared" ca="1" si="32"/>
        <v>0.18163583685821522</v>
      </c>
      <c r="I226" s="103" t="e">
        <f t="shared" ca="1" si="33"/>
        <v>#REF!</v>
      </c>
      <c r="J226" s="103" t="e">
        <f t="shared" ca="1" si="34"/>
        <v>#REF!</v>
      </c>
      <c r="K226" s="103" t="e">
        <f t="shared" ca="1" si="35"/>
        <v>#REF!</v>
      </c>
      <c r="L226" s="103" t="e">
        <f t="shared" ca="1" si="36"/>
        <v>#REF!</v>
      </c>
      <c r="M226" s="103" t="e">
        <f t="shared" ca="1" si="37"/>
        <v>#REF!</v>
      </c>
      <c r="N226" s="104" t="e">
        <f t="shared" ca="1" si="38"/>
        <v>#REF!</v>
      </c>
    </row>
    <row r="227" spans="1:14">
      <c r="A227" s="95">
        <v>189</v>
      </c>
      <c r="B227" s="102" t="e">
        <f t="shared" ca="1" si="26"/>
        <v>#REF!</v>
      </c>
      <c r="C227" s="102" t="e">
        <f t="shared" ca="1" si="27"/>
        <v>#REF!</v>
      </c>
      <c r="D227" s="102" t="e">
        <f t="shared" ca="1" si="28"/>
        <v>#REF!</v>
      </c>
      <c r="E227" s="102" t="e">
        <f t="shared" ca="1" si="29"/>
        <v>#REF!</v>
      </c>
      <c r="F227" s="102" t="e">
        <f t="shared" ca="1" si="30"/>
        <v>#REF!</v>
      </c>
      <c r="G227" s="103">
        <f t="shared" ca="1" si="31"/>
        <v>0.44979750682546249</v>
      </c>
      <c r="H227" s="103">
        <f t="shared" ca="1" si="32"/>
        <v>0.19235486119514264</v>
      </c>
      <c r="I227" s="103" t="e">
        <f t="shared" ca="1" si="33"/>
        <v>#REF!</v>
      </c>
      <c r="J227" s="103" t="e">
        <f t="shared" ca="1" si="34"/>
        <v>#REF!</v>
      </c>
      <c r="K227" s="103" t="e">
        <f t="shared" ca="1" si="35"/>
        <v>#REF!</v>
      </c>
      <c r="L227" s="103" t="e">
        <f t="shared" ca="1" si="36"/>
        <v>#REF!</v>
      </c>
      <c r="M227" s="103" t="e">
        <f t="shared" ca="1" si="37"/>
        <v>#REF!</v>
      </c>
      <c r="N227" s="104" t="e">
        <f t="shared" ca="1" si="38"/>
        <v>#REF!</v>
      </c>
    </row>
    <row r="228" spans="1:14">
      <c r="A228" s="96">
        <v>190</v>
      </c>
      <c r="B228" s="102" t="e">
        <f t="shared" ca="1" si="26"/>
        <v>#REF!</v>
      </c>
      <c r="C228" s="102" t="e">
        <f t="shared" ca="1" si="27"/>
        <v>#REF!</v>
      </c>
      <c r="D228" s="102" t="e">
        <f t="shared" ca="1" si="28"/>
        <v>#REF!</v>
      </c>
      <c r="E228" s="102" t="e">
        <f t="shared" ca="1" si="29"/>
        <v>#REF!</v>
      </c>
      <c r="F228" s="102" t="e">
        <f t="shared" ca="1" si="30"/>
        <v>#REF!</v>
      </c>
      <c r="G228" s="103">
        <f t="shared" ca="1" si="31"/>
        <v>0.45010658340979254</v>
      </c>
      <c r="H228" s="103">
        <f t="shared" ca="1" si="32"/>
        <v>0.18979682453174074</v>
      </c>
      <c r="I228" s="103" t="e">
        <f t="shared" ca="1" si="33"/>
        <v>#REF!</v>
      </c>
      <c r="J228" s="103" t="e">
        <f t="shared" ca="1" si="34"/>
        <v>#REF!</v>
      </c>
      <c r="K228" s="103" t="e">
        <f t="shared" ca="1" si="35"/>
        <v>#REF!</v>
      </c>
      <c r="L228" s="103" t="e">
        <f t="shared" ca="1" si="36"/>
        <v>#REF!</v>
      </c>
      <c r="M228" s="103" t="e">
        <f t="shared" ca="1" si="37"/>
        <v>#REF!</v>
      </c>
      <c r="N228" s="104" t="e">
        <f t="shared" ca="1" si="38"/>
        <v>#REF!</v>
      </c>
    </row>
    <row r="229" spans="1:14">
      <c r="A229" s="95">
        <v>191</v>
      </c>
      <c r="B229" s="102" t="e">
        <f t="shared" ca="1" si="26"/>
        <v>#REF!</v>
      </c>
      <c r="C229" s="102" t="e">
        <f t="shared" ca="1" si="27"/>
        <v>#REF!</v>
      </c>
      <c r="D229" s="102" t="e">
        <f t="shared" ca="1" si="28"/>
        <v>#REF!</v>
      </c>
      <c r="E229" s="102" t="e">
        <f t="shared" ca="1" si="29"/>
        <v>#REF!</v>
      </c>
      <c r="F229" s="102" t="e">
        <f t="shared" ca="1" si="30"/>
        <v>#REF!</v>
      </c>
      <c r="G229" s="103">
        <f t="shared" ca="1" si="31"/>
        <v>0.41090802741482263</v>
      </c>
      <c r="H229" s="103">
        <f t="shared" ca="1" si="32"/>
        <v>0.23744096201736242</v>
      </c>
      <c r="I229" s="103" t="e">
        <f t="shared" ca="1" si="33"/>
        <v>#REF!</v>
      </c>
      <c r="J229" s="103" t="e">
        <f t="shared" ca="1" si="34"/>
        <v>#REF!</v>
      </c>
      <c r="K229" s="103" t="e">
        <f t="shared" ca="1" si="35"/>
        <v>#REF!</v>
      </c>
      <c r="L229" s="103" t="e">
        <f t="shared" ca="1" si="36"/>
        <v>#REF!</v>
      </c>
      <c r="M229" s="103" t="e">
        <f t="shared" ca="1" si="37"/>
        <v>#REF!</v>
      </c>
      <c r="N229" s="104" t="e">
        <f t="shared" ca="1" si="38"/>
        <v>#REF!</v>
      </c>
    </row>
    <row r="230" spans="1:14">
      <c r="A230" s="96">
        <v>192</v>
      </c>
      <c r="B230" s="102" t="e">
        <f t="shared" ca="1" si="26"/>
        <v>#REF!</v>
      </c>
      <c r="C230" s="102" t="e">
        <f t="shared" ca="1" si="27"/>
        <v>#REF!</v>
      </c>
      <c r="D230" s="102" t="e">
        <f t="shared" ca="1" si="28"/>
        <v>#REF!</v>
      </c>
      <c r="E230" s="102" t="e">
        <f t="shared" ca="1" si="29"/>
        <v>#REF!</v>
      </c>
      <c r="F230" s="102" t="e">
        <f t="shared" ca="1" si="30"/>
        <v>#REF!</v>
      </c>
      <c r="G230" s="103">
        <f t="shared" ca="1" si="31"/>
        <v>0.40041268601129182</v>
      </c>
      <c r="H230" s="103">
        <f t="shared" ca="1" si="32"/>
        <v>0.19397149450481646</v>
      </c>
      <c r="I230" s="103" t="e">
        <f t="shared" ca="1" si="33"/>
        <v>#REF!</v>
      </c>
      <c r="J230" s="103" t="e">
        <f t="shared" ca="1" si="34"/>
        <v>#REF!</v>
      </c>
      <c r="K230" s="103" t="e">
        <f t="shared" ca="1" si="35"/>
        <v>#REF!</v>
      </c>
      <c r="L230" s="103" t="e">
        <f t="shared" ca="1" si="36"/>
        <v>#REF!</v>
      </c>
      <c r="M230" s="103" t="e">
        <f t="shared" ca="1" si="37"/>
        <v>#REF!</v>
      </c>
      <c r="N230" s="104" t="e">
        <f t="shared" ca="1" si="38"/>
        <v>#REF!</v>
      </c>
    </row>
    <row r="231" spans="1:14">
      <c r="A231" s="95">
        <v>193</v>
      </c>
      <c r="B231" s="102" t="e">
        <f t="shared" ca="1" si="26"/>
        <v>#REF!</v>
      </c>
      <c r="C231" s="102" t="e">
        <f t="shared" ca="1" si="27"/>
        <v>#REF!</v>
      </c>
      <c r="D231" s="102" t="e">
        <f t="shared" ca="1" si="28"/>
        <v>#REF!</v>
      </c>
      <c r="E231" s="102" t="e">
        <f t="shared" ca="1" si="29"/>
        <v>#REF!</v>
      </c>
      <c r="F231" s="102" t="e">
        <f t="shared" ca="1" si="30"/>
        <v>#REF!</v>
      </c>
      <c r="G231" s="103">
        <f t="shared" ca="1" si="31"/>
        <v>0.41592632260942097</v>
      </c>
      <c r="H231" s="103">
        <f t="shared" ca="1" si="32"/>
        <v>0.17429213930159429</v>
      </c>
      <c r="I231" s="103" t="e">
        <f t="shared" ca="1" si="33"/>
        <v>#REF!</v>
      </c>
      <c r="J231" s="103" t="e">
        <f t="shared" ca="1" si="34"/>
        <v>#REF!</v>
      </c>
      <c r="K231" s="103" t="e">
        <f t="shared" ca="1" si="35"/>
        <v>#REF!</v>
      </c>
      <c r="L231" s="103" t="e">
        <f t="shared" ca="1" si="36"/>
        <v>#REF!</v>
      </c>
      <c r="M231" s="103" t="e">
        <f t="shared" ca="1" si="37"/>
        <v>#REF!</v>
      </c>
      <c r="N231" s="104" t="e">
        <f t="shared" ca="1" si="38"/>
        <v>#REF!</v>
      </c>
    </row>
    <row r="232" spans="1:14">
      <c r="A232" s="96">
        <v>194</v>
      </c>
      <c r="B232" s="102" t="e">
        <f t="shared" ref="B232:B295" ca="1" si="39">_xlfn.LOGNORM.INV(RAND(),$D$5,$E$5)</f>
        <v>#REF!</v>
      </c>
      <c r="C232" s="102" t="e">
        <f t="shared" ref="C232:C295" ca="1" si="40">_xlfn.LOGNORM.INV(RAND(),$D$6,$E$6)</f>
        <v>#REF!</v>
      </c>
      <c r="D232" s="102" t="e">
        <f t="shared" ref="D232:D295" ca="1" si="41">_xlfn.LOGNORM.INV(RAND(),$D$7,$E$7)</f>
        <v>#REF!</v>
      </c>
      <c r="E232" s="102" t="e">
        <f t="shared" ref="E232:E295" ca="1" si="42">_xlfn.LOGNORM.INV(RAND(),$D$8,$E$8)</f>
        <v>#REF!</v>
      </c>
      <c r="F232" s="102" t="e">
        <f t="shared" ref="F232:F295" ca="1" si="43">_xlfn.LOGNORM.INV(RAND(),$D$9,$E$9)</f>
        <v>#REF!</v>
      </c>
      <c r="G232" s="103">
        <f t="shared" ref="G232:G295" ca="1" si="44">_xlfn.NORM.INV(RAND(),$B$12,$C$12)</f>
        <v>0.37703281386227638</v>
      </c>
      <c r="H232" s="103">
        <f t="shared" ref="H232:H295" ca="1" si="45">_xlfn.NORM.INV(RAND(),$B$13,$C$13)</f>
        <v>0.22495774653813944</v>
      </c>
      <c r="I232" s="103" t="e">
        <f t="shared" ref="I232:I295" ca="1" si="46">G232*($E$16/24)+H232*(1-$E$16/24)</f>
        <v>#REF!</v>
      </c>
      <c r="J232" s="103" t="e">
        <f t="shared" ref="J232:J295" ca="1" si="47">G232*($E$17/24)+H232*(1-$E$17/24)</f>
        <v>#REF!</v>
      </c>
      <c r="K232" s="103" t="e">
        <f t="shared" ref="K232:K295" ca="1" si="48">G232*($E$18/24)+H232*(1-$E$18/24)</f>
        <v>#REF!</v>
      </c>
      <c r="L232" s="103" t="e">
        <f t="shared" ref="L232:L295" ca="1" si="49">G232*($E$19/24)+H232*(1-$E$19/24)</f>
        <v>#REF!</v>
      </c>
      <c r="M232" s="103" t="e">
        <f t="shared" ref="M232:M295" ca="1" si="50">G232*($E$20/24)+H232*(1-$E$20/24)</f>
        <v>#REF!</v>
      </c>
      <c r="N232" s="104" t="e">
        <f t="shared" ref="N232:N295" ca="1" si="51">B232*$B$16+C232*$B$17+D232*$B$18+E232*$B$19+F232*$B$20-($C$16*$D$16*I232+$C$17*$D$17*J232+$C$18*$D$18*K232+$C$19*$D$19*L232+$C$20*$D$20*M232)</f>
        <v>#REF!</v>
      </c>
    </row>
    <row r="233" spans="1:14">
      <c r="A233" s="95">
        <v>195</v>
      </c>
      <c r="B233" s="102" t="e">
        <f t="shared" ca="1" si="39"/>
        <v>#REF!</v>
      </c>
      <c r="C233" s="102" t="e">
        <f t="shared" ca="1" si="40"/>
        <v>#REF!</v>
      </c>
      <c r="D233" s="102" t="e">
        <f t="shared" ca="1" si="41"/>
        <v>#REF!</v>
      </c>
      <c r="E233" s="102" t="e">
        <f t="shared" ca="1" si="42"/>
        <v>#REF!</v>
      </c>
      <c r="F233" s="102" t="e">
        <f t="shared" ca="1" si="43"/>
        <v>#REF!</v>
      </c>
      <c r="G233" s="103">
        <f t="shared" ca="1" si="44"/>
        <v>0.44444247253137897</v>
      </c>
      <c r="H233" s="103">
        <f t="shared" ca="1" si="45"/>
        <v>0.22664975409535082</v>
      </c>
      <c r="I233" s="103" t="e">
        <f t="shared" ca="1" si="46"/>
        <v>#REF!</v>
      </c>
      <c r="J233" s="103" t="e">
        <f t="shared" ca="1" si="47"/>
        <v>#REF!</v>
      </c>
      <c r="K233" s="103" t="e">
        <f t="shared" ca="1" si="48"/>
        <v>#REF!</v>
      </c>
      <c r="L233" s="103" t="e">
        <f t="shared" ca="1" si="49"/>
        <v>#REF!</v>
      </c>
      <c r="M233" s="103" t="e">
        <f t="shared" ca="1" si="50"/>
        <v>#REF!</v>
      </c>
      <c r="N233" s="104" t="e">
        <f t="shared" ca="1" si="51"/>
        <v>#REF!</v>
      </c>
    </row>
    <row r="234" spans="1:14">
      <c r="A234" s="96">
        <v>196</v>
      </c>
      <c r="B234" s="102" t="e">
        <f t="shared" ca="1" si="39"/>
        <v>#REF!</v>
      </c>
      <c r="C234" s="102" t="e">
        <f t="shared" ca="1" si="40"/>
        <v>#REF!</v>
      </c>
      <c r="D234" s="102" t="e">
        <f t="shared" ca="1" si="41"/>
        <v>#REF!</v>
      </c>
      <c r="E234" s="102" t="e">
        <f t="shared" ca="1" si="42"/>
        <v>#REF!</v>
      </c>
      <c r="F234" s="102" t="e">
        <f t="shared" ca="1" si="43"/>
        <v>#REF!</v>
      </c>
      <c r="G234" s="103">
        <f t="shared" ca="1" si="44"/>
        <v>0.42366778039446779</v>
      </c>
      <c r="H234" s="103">
        <f t="shared" ca="1" si="45"/>
        <v>0.19509188656125384</v>
      </c>
      <c r="I234" s="103" t="e">
        <f t="shared" ca="1" si="46"/>
        <v>#REF!</v>
      </c>
      <c r="J234" s="103" t="e">
        <f t="shared" ca="1" si="47"/>
        <v>#REF!</v>
      </c>
      <c r="K234" s="103" t="e">
        <f t="shared" ca="1" si="48"/>
        <v>#REF!</v>
      </c>
      <c r="L234" s="103" t="e">
        <f t="shared" ca="1" si="49"/>
        <v>#REF!</v>
      </c>
      <c r="M234" s="103" t="e">
        <f t="shared" ca="1" si="50"/>
        <v>#REF!</v>
      </c>
      <c r="N234" s="104" t="e">
        <f t="shared" ca="1" si="51"/>
        <v>#REF!</v>
      </c>
    </row>
    <row r="235" spans="1:14">
      <c r="A235" s="95">
        <v>197</v>
      </c>
      <c r="B235" s="102" t="e">
        <f t="shared" ca="1" si="39"/>
        <v>#REF!</v>
      </c>
      <c r="C235" s="102" t="e">
        <f t="shared" ca="1" si="40"/>
        <v>#REF!</v>
      </c>
      <c r="D235" s="102" t="e">
        <f t="shared" ca="1" si="41"/>
        <v>#REF!</v>
      </c>
      <c r="E235" s="102" t="e">
        <f t="shared" ca="1" si="42"/>
        <v>#REF!</v>
      </c>
      <c r="F235" s="102" t="e">
        <f t="shared" ca="1" si="43"/>
        <v>#REF!</v>
      </c>
      <c r="G235" s="103">
        <f t="shared" ca="1" si="44"/>
        <v>0.45215513702028598</v>
      </c>
      <c r="H235" s="103">
        <f t="shared" ca="1" si="45"/>
        <v>0.19082555828781458</v>
      </c>
      <c r="I235" s="103" t="e">
        <f t="shared" ca="1" si="46"/>
        <v>#REF!</v>
      </c>
      <c r="J235" s="103" t="e">
        <f t="shared" ca="1" si="47"/>
        <v>#REF!</v>
      </c>
      <c r="K235" s="103" t="e">
        <f t="shared" ca="1" si="48"/>
        <v>#REF!</v>
      </c>
      <c r="L235" s="103" t="e">
        <f t="shared" ca="1" si="49"/>
        <v>#REF!</v>
      </c>
      <c r="M235" s="103" t="e">
        <f t="shared" ca="1" si="50"/>
        <v>#REF!</v>
      </c>
      <c r="N235" s="104" t="e">
        <f t="shared" ca="1" si="51"/>
        <v>#REF!</v>
      </c>
    </row>
    <row r="236" spans="1:14">
      <c r="A236" s="96">
        <v>198</v>
      </c>
      <c r="B236" s="102" t="e">
        <f t="shared" ca="1" si="39"/>
        <v>#REF!</v>
      </c>
      <c r="C236" s="102" t="e">
        <f t="shared" ca="1" si="40"/>
        <v>#REF!</v>
      </c>
      <c r="D236" s="102" t="e">
        <f t="shared" ca="1" si="41"/>
        <v>#REF!</v>
      </c>
      <c r="E236" s="102" t="e">
        <f t="shared" ca="1" si="42"/>
        <v>#REF!</v>
      </c>
      <c r="F236" s="102" t="e">
        <f t="shared" ca="1" si="43"/>
        <v>#REF!</v>
      </c>
      <c r="G236" s="103">
        <f t="shared" ca="1" si="44"/>
        <v>0.37137543009755797</v>
      </c>
      <c r="H236" s="103">
        <f t="shared" ca="1" si="45"/>
        <v>0.23292581451434066</v>
      </c>
      <c r="I236" s="103" t="e">
        <f t="shared" ca="1" si="46"/>
        <v>#REF!</v>
      </c>
      <c r="J236" s="103" t="e">
        <f t="shared" ca="1" si="47"/>
        <v>#REF!</v>
      </c>
      <c r="K236" s="103" t="e">
        <f t="shared" ca="1" si="48"/>
        <v>#REF!</v>
      </c>
      <c r="L236" s="103" t="e">
        <f t="shared" ca="1" si="49"/>
        <v>#REF!</v>
      </c>
      <c r="M236" s="103" t="e">
        <f t="shared" ca="1" si="50"/>
        <v>#REF!</v>
      </c>
      <c r="N236" s="104" t="e">
        <f t="shared" ca="1" si="51"/>
        <v>#REF!</v>
      </c>
    </row>
    <row r="237" spans="1:14">
      <c r="A237" s="95">
        <v>199</v>
      </c>
      <c r="B237" s="102" t="e">
        <f t="shared" ca="1" si="39"/>
        <v>#REF!</v>
      </c>
      <c r="C237" s="102" t="e">
        <f t="shared" ca="1" si="40"/>
        <v>#REF!</v>
      </c>
      <c r="D237" s="102" t="e">
        <f t="shared" ca="1" si="41"/>
        <v>#REF!</v>
      </c>
      <c r="E237" s="102" t="e">
        <f t="shared" ca="1" si="42"/>
        <v>#REF!</v>
      </c>
      <c r="F237" s="102" t="e">
        <f t="shared" ca="1" si="43"/>
        <v>#REF!</v>
      </c>
      <c r="G237" s="103">
        <f t="shared" ca="1" si="44"/>
        <v>0.38563680793643124</v>
      </c>
      <c r="H237" s="103">
        <f t="shared" ca="1" si="45"/>
        <v>0.21456290621994437</v>
      </c>
      <c r="I237" s="103" t="e">
        <f t="shared" ca="1" si="46"/>
        <v>#REF!</v>
      </c>
      <c r="J237" s="103" t="e">
        <f t="shared" ca="1" si="47"/>
        <v>#REF!</v>
      </c>
      <c r="K237" s="103" t="e">
        <f t="shared" ca="1" si="48"/>
        <v>#REF!</v>
      </c>
      <c r="L237" s="103" t="e">
        <f t="shared" ca="1" si="49"/>
        <v>#REF!</v>
      </c>
      <c r="M237" s="103" t="e">
        <f t="shared" ca="1" si="50"/>
        <v>#REF!</v>
      </c>
      <c r="N237" s="104" t="e">
        <f t="shared" ca="1" si="51"/>
        <v>#REF!</v>
      </c>
    </row>
    <row r="238" spans="1:14">
      <c r="A238" s="96">
        <v>200</v>
      </c>
      <c r="B238" s="102" t="e">
        <f t="shared" ca="1" si="39"/>
        <v>#REF!</v>
      </c>
      <c r="C238" s="102" t="e">
        <f t="shared" ca="1" si="40"/>
        <v>#REF!</v>
      </c>
      <c r="D238" s="102" t="e">
        <f t="shared" ca="1" si="41"/>
        <v>#REF!</v>
      </c>
      <c r="E238" s="102" t="e">
        <f t="shared" ca="1" si="42"/>
        <v>#REF!</v>
      </c>
      <c r="F238" s="102" t="e">
        <f t="shared" ca="1" si="43"/>
        <v>#REF!</v>
      </c>
      <c r="G238" s="103">
        <f t="shared" ca="1" si="44"/>
        <v>0.41261446347658487</v>
      </c>
      <c r="H238" s="103">
        <f t="shared" ca="1" si="45"/>
        <v>0.22000440238550706</v>
      </c>
      <c r="I238" s="103" t="e">
        <f t="shared" ca="1" si="46"/>
        <v>#REF!</v>
      </c>
      <c r="J238" s="103" t="e">
        <f t="shared" ca="1" si="47"/>
        <v>#REF!</v>
      </c>
      <c r="K238" s="103" t="e">
        <f t="shared" ca="1" si="48"/>
        <v>#REF!</v>
      </c>
      <c r="L238" s="103" t="e">
        <f t="shared" ca="1" si="49"/>
        <v>#REF!</v>
      </c>
      <c r="M238" s="103" t="e">
        <f t="shared" ca="1" si="50"/>
        <v>#REF!</v>
      </c>
      <c r="N238" s="104" t="e">
        <f t="shared" ca="1" si="51"/>
        <v>#REF!</v>
      </c>
    </row>
    <row r="239" spans="1:14">
      <c r="A239" s="95">
        <v>201</v>
      </c>
      <c r="B239" s="102" t="e">
        <f t="shared" ca="1" si="39"/>
        <v>#REF!</v>
      </c>
      <c r="C239" s="102" t="e">
        <f t="shared" ca="1" si="40"/>
        <v>#REF!</v>
      </c>
      <c r="D239" s="102" t="e">
        <f t="shared" ca="1" si="41"/>
        <v>#REF!</v>
      </c>
      <c r="E239" s="102" t="e">
        <f t="shared" ca="1" si="42"/>
        <v>#REF!</v>
      </c>
      <c r="F239" s="102" t="e">
        <f t="shared" ca="1" si="43"/>
        <v>#REF!</v>
      </c>
      <c r="G239" s="103">
        <f t="shared" ca="1" si="44"/>
        <v>0.4340512386641231</v>
      </c>
      <c r="H239" s="103">
        <f t="shared" ca="1" si="45"/>
        <v>0.20494674938244109</v>
      </c>
      <c r="I239" s="103" t="e">
        <f t="shared" ca="1" si="46"/>
        <v>#REF!</v>
      </c>
      <c r="J239" s="103" t="e">
        <f t="shared" ca="1" si="47"/>
        <v>#REF!</v>
      </c>
      <c r="K239" s="103" t="e">
        <f t="shared" ca="1" si="48"/>
        <v>#REF!</v>
      </c>
      <c r="L239" s="103" t="e">
        <f t="shared" ca="1" si="49"/>
        <v>#REF!</v>
      </c>
      <c r="M239" s="103" t="e">
        <f t="shared" ca="1" si="50"/>
        <v>#REF!</v>
      </c>
      <c r="N239" s="104" t="e">
        <f t="shared" ca="1" si="51"/>
        <v>#REF!</v>
      </c>
    </row>
    <row r="240" spans="1:14">
      <c r="A240" s="96">
        <v>202</v>
      </c>
      <c r="B240" s="102" t="e">
        <f t="shared" ca="1" si="39"/>
        <v>#REF!</v>
      </c>
      <c r="C240" s="102" t="e">
        <f t="shared" ca="1" si="40"/>
        <v>#REF!</v>
      </c>
      <c r="D240" s="102" t="e">
        <f t="shared" ca="1" si="41"/>
        <v>#REF!</v>
      </c>
      <c r="E240" s="102" t="e">
        <f t="shared" ca="1" si="42"/>
        <v>#REF!</v>
      </c>
      <c r="F240" s="102" t="e">
        <f t="shared" ca="1" si="43"/>
        <v>#REF!</v>
      </c>
      <c r="G240" s="103">
        <f t="shared" ca="1" si="44"/>
        <v>0.41688057632470887</v>
      </c>
      <c r="H240" s="103">
        <f t="shared" ca="1" si="45"/>
        <v>0.17990355230897095</v>
      </c>
      <c r="I240" s="103" t="e">
        <f t="shared" ca="1" si="46"/>
        <v>#REF!</v>
      </c>
      <c r="J240" s="103" t="e">
        <f t="shared" ca="1" si="47"/>
        <v>#REF!</v>
      </c>
      <c r="K240" s="103" t="e">
        <f t="shared" ca="1" si="48"/>
        <v>#REF!</v>
      </c>
      <c r="L240" s="103" t="e">
        <f t="shared" ca="1" si="49"/>
        <v>#REF!</v>
      </c>
      <c r="M240" s="103" t="e">
        <f t="shared" ca="1" si="50"/>
        <v>#REF!</v>
      </c>
      <c r="N240" s="104" t="e">
        <f t="shared" ca="1" si="51"/>
        <v>#REF!</v>
      </c>
    </row>
    <row r="241" spans="1:14">
      <c r="A241" s="95">
        <v>203</v>
      </c>
      <c r="B241" s="102" t="e">
        <f t="shared" ca="1" si="39"/>
        <v>#REF!</v>
      </c>
      <c r="C241" s="102" t="e">
        <f t="shared" ca="1" si="40"/>
        <v>#REF!</v>
      </c>
      <c r="D241" s="102" t="e">
        <f t="shared" ca="1" si="41"/>
        <v>#REF!</v>
      </c>
      <c r="E241" s="102" t="e">
        <f t="shared" ca="1" si="42"/>
        <v>#REF!</v>
      </c>
      <c r="F241" s="102" t="e">
        <f t="shared" ca="1" si="43"/>
        <v>#REF!</v>
      </c>
      <c r="G241" s="103">
        <f t="shared" ca="1" si="44"/>
        <v>0.44181075144679666</v>
      </c>
      <c r="H241" s="103">
        <f t="shared" ca="1" si="45"/>
        <v>0.20413371970298375</v>
      </c>
      <c r="I241" s="103" t="e">
        <f t="shared" ca="1" si="46"/>
        <v>#REF!</v>
      </c>
      <c r="J241" s="103" t="e">
        <f t="shared" ca="1" si="47"/>
        <v>#REF!</v>
      </c>
      <c r="K241" s="103" t="e">
        <f t="shared" ca="1" si="48"/>
        <v>#REF!</v>
      </c>
      <c r="L241" s="103" t="e">
        <f t="shared" ca="1" si="49"/>
        <v>#REF!</v>
      </c>
      <c r="M241" s="103" t="e">
        <f t="shared" ca="1" si="50"/>
        <v>#REF!</v>
      </c>
      <c r="N241" s="104" t="e">
        <f t="shared" ca="1" si="51"/>
        <v>#REF!</v>
      </c>
    </row>
    <row r="242" spans="1:14">
      <c r="A242" s="96">
        <v>204</v>
      </c>
      <c r="B242" s="102" t="e">
        <f t="shared" ca="1" si="39"/>
        <v>#REF!</v>
      </c>
      <c r="C242" s="102" t="e">
        <f t="shared" ca="1" si="40"/>
        <v>#REF!</v>
      </c>
      <c r="D242" s="102" t="e">
        <f t="shared" ca="1" si="41"/>
        <v>#REF!</v>
      </c>
      <c r="E242" s="102" t="e">
        <f t="shared" ca="1" si="42"/>
        <v>#REF!</v>
      </c>
      <c r="F242" s="102" t="e">
        <f t="shared" ca="1" si="43"/>
        <v>#REF!</v>
      </c>
      <c r="G242" s="103">
        <f t="shared" ca="1" si="44"/>
        <v>0.4495711812039393</v>
      </c>
      <c r="H242" s="103">
        <f t="shared" ca="1" si="45"/>
        <v>0.20564866205345475</v>
      </c>
      <c r="I242" s="103" t="e">
        <f t="shared" ca="1" si="46"/>
        <v>#REF!</v>
      </c>
      <c r="J242" s="103" t="e">
        <f t="shared" ca="1" si="47"/>
        <v>#REF!</v>
      </c>
      <c r="K242" s="103" t="e">
        <f t="shared" ca="1" si="48"/>
        <v>#REF!</v>
      </c>
      <c r="L242" s="103" t="e">
        <f t="shared" ca="1" si="49"/>
        <v>#REF!</v>
      </c>
      <c r="M242" s="103" t="e">
        <f t="shared" ca="1" si="50"/>
        <v>#REF!</v>
      </c>
      <c r="N242" s="104" t="e">
        <f t="shared" ca="1" si="51"/>
        <v>#REF!</v>
      </c>
    </row>
    <row r="243" spans="1:14">
      <c r="A243" s="95">
        <v>205</v>
      </c>
      <c r="B243" s="102" t="e">
        <f t="shared" ca="1" si="39"/>
        <v>#REF!</v>
      </c>
      <c r="C243" s="102" t="e">
        <f t="shared" ca="1" si="40"/>
        <v>#REF!</v>
      </c>
      <c r="D243" s="102" t="e">
        <f t="shared" ca="1" si="41"/>
        <v>#REF!</v>
      </c>
      <c r="E243" s="102" t="e">
        <f t="shared" ca="1" si="42"/>
        <v>#REF!</v>
      </c>
      <c r="F243" s="102" t="e">
        <f t="shared" ca="1" si="43"/>
        <v>#REF!</v>
      </c>
      <c r="G243" s="103">
        <f t="shared" ca="1" si="44"/>
        <v>0.44769780438781176</v>
      </c>
      <c r="H243" s="103">
        <f t="shared" ca="1" si="45"/>
        <v>0.19859699628072888</v>
      </c>
      <c r="I243" s="103" t="e">
        <f t="shared" ca="1" si="46"/>
        <v>#REF!</v>
      </c>
      <c r="J243" s="103" t="e">
        <f t="shared" ca="1" si="47"/>
        <v>#REF!</v>
      </c>
      <c r="K243" s="103" t="e">
        <f t="shared" ca="1" si="48"/>
        <v>#REF!</v>
      </c>
      <c r="L243" s="103" t="e">
        <f t="shared" ca="1" si="49"/>
        <v>#REF!</v>
      </c>
      <c r="M243" s="103" t="e">
        <f t="shared" ca="1" si="50"/>
        <v>#REF!</v>
      </c>
      <c r="N243" s="104" t="e">
        <f t="shared" ca="1" si="51"/>
        <v>#REF!</v>
      </c>
    </row>
    <row r="244" spans="1:14">
      <c r="A244" s="96">
        <v>206</v>
      </c>
      <c r="B244" s="102" t="e">
        <f t="shared" ca="1" si="39"/>
        <v>#REF!</v>
      </c>
      <c r="C244" s="102" t="e">
        <f t="shared" ca="1" si="40"/>
        <v>#REF!</v>
      </c>
      <c r="D244" s="102" t="e">
        <f t="shared" ca="1" si="41"/>
        <v>#REF!</v>
      </c>
      <c r="E244" s="102" t="e">
        <f t="shared" ca="1" si="42"/>
        <v>#REF!</v>
      </c>
      <c r="F244" s="102" t="e">
        <f t="shared" ca="1" si="43"/>
        <v>#REF!</v>
      </c>
      <c r="G244" s="103">
        <f t="shared" ca="1" si="44"/>
        <v>0.43448362773759924</v>
      </c>
      <c r="H244" s="103">
        <f t="shared" ca="1" si="45"/>
        <v>0.20249863389111208</v>
      </c>
      <c r="I244" s="103" t="e">
        <f t="shared" ca="1" si="46"/>
        <v>#REF!</v>
      </c>
      <c r="J244" s="103" t="e">
        <f t="shared" ca="1" si="47"/>
        <v>#REF!</v>
      </c>
      <c r="K244" s="103" t="e">
        <f t="shared" ca="1" si="48"/>
        <v>#REF!</v>
      </c>
      <c r="L244" s="103" t="e">
        <f t="shared" ca="1" si="49"/>
        <v>#REF!</v>
      </c>
      <c r="M244" s="103" t="e">
        <f t="shared" ca="1" si="50"/>
        <v>#REF!</v>
      </c>
      <c r="N244" s="104" t="e">
        <f t="shared" ca="1" si="51"/>
        <v>#REF!</v>
      </c>
    </row>
    <row r="245" spans="1:14">
      <c r="A245" s="95">
        <v>207</v>
      </c>
      <c r="B245" s="102" t="e">
        <f t="shared" ca="1" si="39"/>
        <v>#REF!</v>
      </c>
      <c r="C245" s="102" t="e">
        <f t="shared" ca="1" si="40"/>
        <v>#REF!</v>
      </c>
      <c r="D245" s="102" t="e">
        <f t="shared" ca="1" si="41"/>
        <v>#REF!</v>
      </c>
      <c r="E245" s="102" t="e">
        <f t="shared" ca="1" si="42"/>
        <v>#REF!</v>
      </c>
      <c r="F245" s="102" t="e">
        <f t="shared" ca="1" si="43"/>
        <v>#REF!</v>
      </c>
      <c r="G245" s="103">
        <f t="shared" ca="1" si="44"/>
        <v>0.46177954732844129</v>
      </c>
      <c r="H245" s="103">
        <f t="shared" ca="1" si="45"/>
        <v>0.19960195880235979</v>
      </c>
      <c r="I245" s="103" t="e">
        <f t="shared" ca="1" si="46"/>
        <v>#REF!</v>
      </c>
      <c r="J245" s="103" t="e">
        <f t="shared" ca="1" si="47"/>
        <v>#REF!</v>
      </c>
      <c r="K245" s="103" t="e">
        <f t="shared" ca="1" si="48"/>
        <v>#REF!</v>
      </c>
      <c r="L245" s="103" t="e">
        <f t="shared" ca="1" si="49"/>
        <v>#REF!</v>
      </c>
      <c r="M245" s="103" t="e">
        <f t="shared" ca="1" si="50"/>
        <v>#REF!</v>
      </c>
      <c r="N245" s="104" t="e">
        <f t="shared" ca="1" si="51"/>
        <v>#REF!</v>
      </c>
    </row>
    <row r="246" spans="1:14">
      <c r="A246" s="96">
        <v>208</v>
      </c>
      <c r="B246" s="102" t="e">
        <f t="shared" ca="1" si="39"/>
        <v>#REF!</v>
      </c>
      <c r="C246" s="102" t="e">
        <f t="shared" ca="1" si="40"/>
        <v>#REF!</v>
      </c>
      <c r="D246" s="102" t="e">
        <f t="shared" ca="1" si="41"/>
        <v>#REF!</v>
      </c>
      <c r="E246" s="102" t="e">
        <f t="shared" ca="1" si="42"/>
        <v>#REF!</v>
      </c>
      <c r="F246" s="102" t="e">
        <f t="shared" ca="1" si="43"/>
        <v>#REF!</v>
      </c>
      <c r="G246" s="103">
        <f t="shared" ca="1" si="44"/>
        <v>0.41767071841862347</v>
      </c>
      <c r="H246" s="103">
        <f t="shared" ca="1" si="45"/>
        <v>0.20778963990121058</v>
      </c>
      <c r="I246" s="103" t="e">
        <f t="shared" ca="1" si="46"/>
        <v>#REF!</v>
      </c>
      <c r="J246" s="103" t="e">
        <f t="shared" ca="1" si="47"/>
        <v>#REF!</v>
      </c>
      <c r="K246" s="103" t="e">
        <f t="shared" ca="1" si="48"/>
        <v>#REF!</v>
      </c>
      <c r="L246" s="103" t="e">
        <f t="shared" ca="1" si="49"/>
        <v>#REF!</v>
      </c>
      <c r="M246" s="103" t="e">
        <f t="shared" ca="1" si="50"/>
        <v>#REF!</v>
      </c>
      <c r="N246" s="104" t="e">
        <f t="shared" ca="1" si="51"/>
        <v>#REF!</v>
      </c>
    </row>
    <row r="247" spans="1:14">
      <c r="A247" s="95">
        <v>209</v>
      </c>
      <c r="B247" s="102" t="e">
        <f t="shared" ca="1" si="39"/>
        <v>#REF!</v>
      </c>
      <c r="C247" s="102" t="e">
        <f t="shared" ca="1" si="40"/>
        <v>#REF!</v>
      </c>
      <c r="D247" s="102" t="e">
        <f t="shared" ca="1" si="41"/>
        <v>#REF!</v>
      </c>
      <c r="E247" s="102" t="e">
        <f t="shared" ca="1" si="42"/>
        <v>#REF!</v>
      </c>
      <c r="F247" s="102" t="e">
        <f t="shared" ca="1" si="43"/>
        <v>#REF!</v>
      </c>
      <c r="G247" s="103">
        <f t="shared" ca="1" si="44"/>
        <v>0.43153928086530985</v>
      </c>
      <c r="H247" s="103">
        <f t="shared" ca="1" si="45"/>
        <v>0.2107753120329241</v>
      </c>
      <c r="I247" s="103" t="e">
        <f t="shared" ca="1" si="46"/>
        <v>#REF!</v>
      </c>
      <c r="J247" s="103" t="e">
        <f t="shared" ca="1" si="47"/>
        <v>#REF!</v>
      </c>
      <c r="K247" s="103" t="e">
        <f t="shared" ca="1" si="48"/>
        <v>#REF!</v>
      </c>
      <c r="L247" s="103" t="e">
        <f t="shared" ca="1" si="49"/>
        <v>#REF!</v>
      </c>
      <c r="M247" s="103" t="e">
        <f t="shared" ca="1" si="50"/>
        <v>#REF!</v>
      </c>
      <c r="N247" s="104" t="e">
        <f t="shared" ca="1" si="51"/>
        <v>#REF!</v>
      </c>
    </row>
    <row r="248" spans="1:14">
      <c r="A248" s="96">
        <v>210</v>
      </c>
      <c r="B248" s="102" t="e">
        <f t="shared" ca="1" si="39"/>
        <v>#REF!</v>
      </c>
      <c r="C248" s="102" t="e">
        <f t="shared" ca="1" si="40"/>
        <v>#REF!</v>
      </c>
      <c r="D248" s="102" t="e">
        <f t="shared" ca="1" si="41"/>
        <v>#REF!</v>
      </c>
      <c r="E248" s="102" t="e">
        <f t="shared" ca="1" si="42"/>
        <v>#REF!</v>
      </c>
      <c r="F248" s="102" t="e">
        <f t="shared" ca="1" si="43"/>
        <v>#REF!</v>
      </c>
      <c r="G248" s="103">
        <f t="shared" ca="1" si="44"/>
        <v>0.46430764047911988</v>
      </c>
      <c r="H248" s="103">
        <f t="shared" ca="1" si="45"/>
        <v>0.18994461534485807</v>
      </c>
      <c r="I248" s="103" t="e">
        <f t="shared" ca="1" si="46"/>
        <v>#REF!</v>
      </c>
      <c r="J248" s="103" t="e">
        <f t="shared" ca="1" si="47"/>
        <v>#REF!</v>
      </c>
      <c r="K248" s="103" t="e">
        <f t="shared" ca="1" si="48"/>
        <v>#REF!</v>
      </c>
      <c r="L248" s="103" t="e">
        <f t="shared" ca="1" si="49"/>
        <v>#REF!</v>
      </c>
      <c r="M248" s="103" t="e">
        <f t="shared" ca="1" si="50"/>
        <v>#REF!</v>
      </c>
      <c r="N248" s="104" t="e">
        <f t="shared" ca="1" si="51"/>
        <v>#REF!</v>
      </c>
    </row>
    <row r="249" spans="1:14">
      <c r="A249" s="95">
        <v>211</v>
      </c>
      <c r="B249" s="102" t="e">
        <f t="shared" ca="1" si="39"/>
        <v>#REF!</v>
      </c>
      <c r="C249" s="102" t="e">
        <f t="shared" ca="1" si="40"/>
        <v>#REF!</v>
      </c>
      <c r="D249" s="102" t="e">
        <f t="shared" ca="1" si="41"/>
        <v>#REF!</v>
      </c>
      <c r="E249" s="102" t="e">
        <f t="shared" ca="1" si="42"/>
        <v>#REF!</v>
      </c>
      <c r="F249" s="102" t="e">
        <f t="shared" ca="1" si="43"/>
        <v>#REF!</v>
      </c>
      <c r="G249" s="103">
        <f t="shared" ca="1" si="44"/>
        <v>0.43333281000930463</v>
      </c>
      <c r="H249" s="103">
        <f t="shared" ca="1" si="45"/>
        <v>0.20362450653496375</v>
      </c>
      <c r="I249" s="103" t="e">
        <f t="shared" ca="1" si="46"/>
        <v>#REF!</v>
      </c>
      <c r="J249" s="103" t="e">
        <f t="shared" ca="1" si="47"/>
        <v>#REF!</v>
      </c>
      <c r="K249" s="103" t="e">
        <f t="shared" ca="1" si="48"/>
        <v>#REF!</v>
      </c>
      <c r="L249" s="103" t="e">
        <f t="shared" ca="1" si="49"/>
        <v>#REF!</v>
      </c>
      <c r="M249" s="103" t="e">
        <f t="shared" ca="1" si="50"/>
        <v>#REF!</v>
      </c>
      <c r="N249" s="104" t="e">
        <f t="shared" ca="1" si="51"/>
        <v>#REF!</v>
      </c>
    </row>
    <row r="250" spans="1:14">
      <c r="A250" s="96">
        <v>212</v>
      </c>
      <c r="B250" s="102" t="e">
        <f t="shared" ca="1" si="39"/>
        <v>#REF!</v>
      </c>
      <c r="C250" s="102" t="e">
        <f t="shared" ca="1" si="40"/>
        <v>#REF!</v>
      </c>
      <c r="D250" s="102" t="e">
        <f t="shared" ca="1" si="41"/>
        <v>#REF!</v>
      </c>
      <c r="E250" s="102" t="e">
        <f t="shared" ca="1" si="42"/>
        <v>#REF!</v>
      </c>
      <c r="F250" s="102" t="e">
        <f t="shared" ca="1" si="43"/>
        <v>#REF!</v>
      </c>
      <c r="G250" s="103">
        <f t="shared" ca="1" si="44"/>
        <v>0.45789690243676606</v>
      </c>
      <c r="H250" s="103">
        <f t="shared" ca="1" si="45"/>
        <v>0.20891112863524861</v>
      </c>
      <c r="I250" s="103" t="e">
        <f t="shared" ca="1" si="46"/>
        <v>#REF!</v>
      </c>
      <c r="J250" s="103" t="e">
        <f t="shared" ca="1" si="47"/>
        <v>#REF!</v>
      </c>
      <c r="K250" s="103" t="e">
        <f t="shared" ca="1" si="48"/>
        <v>#REF!</v>
      </c>
      <c r="L250" s="103" t="e">
        <f t="shared" ca="1" si="49"/>
        <v>#REF!</v>
      </c>
      <c r="M250" s="103" t="e">
        <f t="shared" ca="1" si="50"/>
        <v>#REF!</v>
      </c>
      <c r="N250" s="104" t="e">
        <f t="shared" ca="1" si="51"/>
        <v>#REF!</v>
      </c>
    </row>
    <row r="251" spans="1:14">
      <c r="A251" s="95">
        <v>213</v>
      </c>
      <c r="B251" s="102" t="e">
        <f t="shared" ca="1" si="39"/>
        <v>#REF!</v>
      </c>
      <c r="C251" s="102" t="e">
        <f t="shared" ca="1" si="40"/>
        <v>#REF!</v>
      </c>
      <c r="D251" s="102" t="e">
        <f t="shared" ca="1" si="41"/>
        <v>#REF!</v>
      </c>
      <c r="E251" s="102" t="e">
        <f t="shared" ca="1" si="42"/>
        <v>#REF!</v>
      </c>
      <c r="F251" s="102" t="e">
        <f t="shared" ca="1" si="43"/>
        <v>#REF!</v>
      </c>
      <c r="G251" s="103">
        <f t="shared" ca="1" si="44"/>
        <v>0.42665949242732942</v>
      </c>
      <c r="H251" s="103">
        <f t="shared" ca="1" si="45"/>
        <v>0.21255399435147701</v>
      </c>
      <c r="I251" s="103" t="e">
        <f t="shared" ca="1" si="46"/>
        <v>#REF!</v>
      </c>
      <c r="J251" s="103" t="e">
        <f t="shared" ca="1" si="47"/>
        <v>#REF!</v>
      </c>
      <c r="K251" s="103" t="e">
        <f t="shared" ca="1" si="48"/>
        <v>#REF!</v>
      </c>
      <c r="L251" s="103" t="e">
        <f t="shared" ca="1" si="49"/>
        <v>#REF!</v>
      </c>
      <c r="M251" s="103" t="e">
        <f t="shared" ca="1" si="50"/>
        <v>#REF!</v>
      </c>
      <c r="N251" s="104" t="e">
        <f t="shared" ca="1" si="51"/>
        <v>#REF!</v>
      </c>
    </row>
    <row r="252" spans="1:14">
      <c r="A252" s="96">
        <v>214</v>
      </c>
      <c r="B252" s="102" t="e">
        <f t="shared" ca="1" si="39"/>
        <v>#REF!</v>
      </c>
      <c r="C252" s="102" t="e">
        <f t="shared" ca="1" si="40"/>
        <v>#REF!</v>
      </c>
      <c r="D252" s="102" t="e">
        <f t="shared" ca="1" si="41"/>
        <v>#REF!</v>
      </c>
      <c r="E252" s="102" t="e">
        <f t="shared" ca="1" si="42"/>
        <v>#REF!</v>
      </c>
      <c r="F252" s="102" t="e">
        <f t="shared" ca="1" si="43"/>
        <v>#REF!</v>
      </c>
      <c r="G252" s="103">
        <f t="shared" ca="1" si="44"/>
        <v>0.40255243073553909</v>
      </c>
      <c r="H252" s="103">
        <f t="shared" ca="1" si="45"/>
        <v>0.17587613322057807</v>
      </c>
      <c r="I252" s="103" t="e">
        <f t="shared" ca="1" si="46"/>
        <v>#REF!</v>
      </c>
      <c r="J252" s="103" t="e">
        <f t="shared" ca="1" si="47"/>
        <v>#REF!</v>
      </c>
      <c r="K252" s="103" t="e">
        <f t="shared" ca="1" si="48"/>
        <v>#REF!</v>
      </c>
      <c r="L252" s="103" t="e">
        <f t="shared" ca="1" si="49"/>
        <v>#REF!</v>
      </c>
      <c r="M252" s="103" t="e">
        <f t="shared" ca="1" si="50"/>
        <v>#REF!</v>
      </c>
      <c r="N252" s="104" t="e">
        <f t="shared" ca="1" si="51"/>
        <v>#REF!</v>
      </c>
    </row>
    <row r="253" spans="1:14">
      <c r="A253" s="95">
        <v>215</v>
      </c>
      <c r="B253" s="102" t="e">
        <f t="shared" ca="1" si="39"/>
        <v>#REF!</v>
      </c>
      <c r="C253" s="102" t="e">
        <f t="shared" ca="1" si="40"/>
        <v>#REF!</v>
      </c>
      <c r="D253" s="102" t="e">
        <f t="shared" ca="1" si="41"/>
        <v>#REF!</v>
      </c>
      <c r="E253" s="102" t="e">
        <f t="shared" ca="1" si="42"/>
        <v>#REF!</v>
      </c>
      <c r="F253" s="102" t="e">
        <f t="shared" ca="1" si="43"/>
        <v>#REF!</v>
      </c>
      <c r="G253" s="103">
        <f t="shared" ca="1" si="44"/>
        <v>0.4614830110783556</v>
      </c>
      <c r="H253" s="103">
        <f t="shared" ca="1" si="45"/>
        <v>0.22084310832847781</v>
      </c>
      <c r="I253" s="103" t="e">
        <f t="shared" ca="1" si="46"/>
        <v>#REF!</v>
      </c>
      <c r="J253" s="103" t="e">
        <f t="shared" ca="1" si="47"/>
        <v>#REF!</v>
      </c>
      <c r="K253" s="103" t="e">
        <f t="shared" ca="1" si="48"/>
        <v>#REF!</v>
      </c>
      <c r="L253" s="103" t="e">
        <f t="shared" ca="1" si="49"/>
        <v>#REF!</v>
      </c>
      <c r="M253" s="103" t="e">
        <f t="shared" ca="1" si="50"/>
        <v>#REF!</v>
      </c>
      <c r="N253" s="104" t="e">
        <f t="shared" ca="1" si="51"/>
        <v>#REF!</v>
      </c>
    </row>
    <row r="254" spans="1:14">
      <c r="A254" s="96">
        <v>216</v>
      </c>
      <c r="B254" s="102" t="e">
        <f t="shared" ca="1" si="39"/>
        <v>#REF!</v>
      </c>
      <c r="C254" s="102" t="e">
        <f t="shared" ca="1" si="40"/>
        <v>#REF!</v>
      </c>
      <c r="D254" s="102" t="e">
        <f t="shared" ca="1" si="41"/>
        <v>#REF!</v>
      </c>
      <c r="E254" s="102" t="e">
        <f t="shared" ca="1" si="42"/>
        <v>#REF!</v>
      </c>
      <c r="F254" s="102" t="e">
        <f t="shared" ca="1" si="43"/>
        <v>#REF!</v>
      </c>
      <c r="G254" s="103">
        <f t="shared" ca="1" si="44"/>
        <v>0.45430593559840365</v>
      </c>
      <c r="H254" s="103">
        <f t="shared" ca="1" si="45"/>
        <v>0.22104985638378227</v>
      </c>
      <c r="I254" s="103" t="e">
        <f t="shared" ca="1" si="46"/>
        <v>#REF!</v>
      </c>
      <c r="J254" s="103" t="e">
        <f t="shared" ca="1" si="47"/>
        <v>#REF!</v>
      </c>
      <c r="K254" s="103" t="e">
        <f t="shared" ca="1" si="48"/>
        <v>#REF!</v>
      </c>
      <c r="L254" s="103" t="e">
        <f t="shared" ca="1" si="49"/>
        <v>#REF!</v>
      </c>
      <c r="M254" s="103" t="e">
        <f t="shared" ca="1" si="50"/>
        <v>#REF!</v>
      </c>
      <c r="N254" s="104" t="e">
        <f t="shared" ca="1" si="51"/>
        <v>#REF!</v>
      </c>
    </row>
    <row r="255" spans="1:14">
      <c r="A255" s="95">
        <v>217</v>
      </c>
      <c r="B255" s="102" t="e">
        <f t="shared" ca="1" si="39"/>
        <v>#REF!</v>
      </c>
      <c r="C255" s="102" t="e">
        <f t="shared" ca="1" si="40"/>
        <v>#REF!</v>
      </c>
      <c r="D255" s="102" t="e">
        <f t="shared" ca="1" si="41"/>
        <v>#REF!</v>
      </c>
      <c r="E255" s="102" t="e">
        <f t="shared" ca="1" si="42"/>
        <v>#REF!</v>
      </c>
      <c r="F255" s="102" t="e">
        <f t="shared" ca="1" si="43"/>
        <v>#REF!</v>
      </c>
      <c r="G255" s="103">
        <f t="shared" ca="1" si="44"/>
        <v>0.415395853533082</v>
      </c>
      <c r="H255" s="103">
        <f t="shared" ca="1" si="45"/>
        <v>0.2039304702217056</v>
      </c>
      <c r="I255" s="103" t="e">
        <f t="shared" ca="1" si="46"/>
        <v>#REF!</v>
      </c>
      <c r="J255" s="103" t="e">
        <f t="shared" ca="1" si="47"/>
        <v>#REF!</v>
      </c>
      <c r="K255" s="103" t="e">
        <f t="shared" ca="1" si="48"/>
        <v>#REF!</v>
      </c>
      <c r="L255" s="103" t="e">
        <f t="shared" ca="1" si="49"/>
        <v>#REF!</v>
      </c>
      <c r="M255" s="103" t="e">
        <f t="shared" ca="1" si="50"/>
        <v>#REF!</v>
      </c>
      <c r="N255" s="104" t="e">
        <f t="shared" ca="1" si="51"/>
        <v>#REF!</v>
      </c>
    </row>
    <row r="256" spans="1:14">
      <c r="A256" s="96">
        <v>218</v>
      </c>
      <c r="B256" s="102" t="e">
        <f t="shared" ca="1" si="39"/>
        <v>#REF!</v>
      </c>
      <c r="C256" s="102" t="e">
        <f t="shared" ca="1" si="40"/>
        <v>#REF!</v>
      </c>
      <c r="D256" s="102" t="e">
        <f t="shared" ca="1" si="41"/>
        <v>#REF!</v>
      </c>
      <c r="E256" s="102" t="e">
        <f t="shared" ca="1" si="42"/>
        <v>#REF!</v>
      </c>
      <c r="F256" s="102" t="e">
        <f t="shared" ca="1" si="43"/>
        <v>#REF!</v>
      </c>
      <c r="G256" s="103">
        <f t="shared" ca="1" si="44"/>
        <v>0.46213981411135868</v>
      </c>
      <c r="H256" s="103">
        <f t="shared" ca="1" si="45"/>
        <v>0.21798793340843292</v>
      </c>
      <c r="I256" s="103" t="e">
        <f t="shared" ca="1" si="46"/>
        <v>#REF!</v>
      </c>
      <c r="J256" s="103" t="e">
        <f t="shared" ca="1" si="47"/>
        <v>#REF!</v>
      </c>
      <c r="K256" s="103" t="e">
        <f t="shared" ca="1" si="48"/>
        <v>#REF!</v>
      </c>
      <c r="L256" s="103" t="e">
        <f t="shared" ca="1" si="49"/>
        <v>#REF!</v>
      </c>
      <c r="M256" s="103" t="e">
        <f t="shared" ca="1" si="50"/>
        <v>#REF!</v>
      </c>
      <c r="N256" s="104" t="e">
        <f t="shared" ca="1" si="51"/>
        <v>#REF!</v>
      </c>
    </row>
    <row r="257" spans="1:14">
      <c r="A257" s="95">
        <v>219</v>
      </c>
      <c r="B257" s="102" t="e">
        <f t="shared" ca="1" si="39"/>
        <v>#REF!</v>
      </c>
      <c r="C257" s="102" t="e">
        <f t="shared" ca="1" si="40"/>
        <v>#REF!</v>
      </c>
      <c r="D257" s="102" t="e">
        <f t="shared" ca="1" si="41"/>
        <v>#REF!</v>
      </c>
      <c r="E257" s="102" t="e">
        <f t="shared" ca="1" si="42"/>
        <v>#REF!</v>
      </c>
      <c r="F257" s="102" t="e">
        <f t="shared" ca="1" si="43"/>
        <v>#REF!</v>
      </c>
      <c r="G257" s="103">
        <f t="shared" ca="1" si="44"/>
        <v>0.45469074777241303</v>
      </c>
      <c r="H257" s="103">
        <f t="shared" ca="1" si="45"/>
        <v>0.20756513785131325</v>
      </c>
      <c r="I257" s="103" t="e">
        <f t="shared" ca="1" si="46"/>
        <v>#REF!</v>
      </c>
      <c r="J257" s="103" t="e">
        <f t="shared" ca="1" si="47"/>
        <v>#REF!</v>
      </c>
      <c r="K257" s="103" t="e">
        <f t="shared" ca="1" si="48"/>
        <v>#REF!</v>
      </c>
      <c r="L257" s="103" t="e">
        <f t="shared" ca="1" si="49"/>
        <v>#REF!</v>
      </c>
      <c r="M257" s="103" t="e">
        <f t="shared" ca="1" si="50"/>
        <v>#REF!</v>
      </c>
      <c r="N257" s="104" t="e">
        <f t="shared" ca="1" si="51"/>
        <v>#REF!</v>
      </c>
    </row>
    <row r="258" spans="1:14">
      <c r="A258" s="96">
        <v>220</v>
      </c>
      <c r="B258" s="102" t="e">
        <f t="shared" ca="1" si="39"/>
        <v>#REF!</v>
      </c>
      <c r="C258" s="102" t="e">
        <f t="shared" ca="1" si="40"/>
        <v>#REF!</v>
      </c>
      <c r="D258" s="102" t="e">
        <f t="shared" ca="1" si="41"/>
        <v>#REF!</v>
      </c>
      <c r="E258" s="102" t="e">
        <f t="shared" ca="1" si="42"/>
        <v>#REF!</v>
      </c>
      <c r="F258" s="102" t="e">
        <f t="shared" ca="1" si="43"/>
        <v>#REF!</v>
      </c>
      <c r="G258" s="103">
        <f t="shared" ca="1" si="44"/>
        <v>0.47092396259638653</v>
      </c>
      <c r="H258" s="103">
        <f t="shared" ca="1" si="45"/>
        <v>0.18847887589663459</v>
      </c>
      <c r="I258" s="103" t="e">
        <f t="shared" ca="1" si="46"/>
        <v>#REF!</v>
      </c>
      <c r="J258" s="103" t="e">
        <f t="shared" ca="1" si="47"/>
        <v>#REF!</v>
      </c>
      <c r="K258" s="103" t="e">
        <f t="shared" ca="1" si="48"/>
        <v>#REF!</v>
      </c>
      <c r="L258" s="103" t="e">
        <f t="shared" ca="1" si="49"/>
        <v>#REF!</v>
      </c>
      <c r="M258" s="103" t="e">
        <f t="shared" ca="1" si="50"/>
        <v>#REF!</v>
      </c>
      <c r="N258" s="104" t="e">
        <f t="shared" ca="1" si="51"/>
        <v>#REF!</v>
      </c>
    </row>
    <row r="259" spans="1:14">
      <c r="A259" s="95">
        <v>221</v>
      </c>
      <c r="B259" s="102" t="e">
        <f t="shared" ca="1" si="39"/>
        <v>#REF!</v>
      </c>
      <c r="C259" s="102" t="e">
        <f t="shared" ca="1" si="40"/>
        <v>#REF!</v>
      </c>
      <c r="D259" s="102" t="e">
        <f t="shared" ca="1" si="41"/>
        <v>#REF!</v>
      </c>
      <c r="E259" s="102" t="e">
        <f t="shared" ca="1" si="42"/>
        <v>#REF!</v>
      </c>
      <c r="F259" s="102" t="e">
        <f t="shared" ca="1" si="43"/>
        <v>#REF!</v>
      </c>
      <c r="G259" s="103">
        <f t="shared" ca="1" si="44"/>
        <v>0.42265184767052</v>
      </c>
      <c r="H259" s="103">
        <f t="shared" ca="1" si="45"/>
        <v>0.21486365259234394</v>
      </c>
      <c r="I259" s="103" t="e">
        <f t="shared" ca="1" si="46"/>
        <v>#REF!</v>
      </c>
      <c r="J259" s="103" t="e">
        <f t="shared" ca="1" si="47"/>
        <v>#REF!</v>
      </c>
      <c r="K259" s="103" t="e">
        <f t="shared" ca="1" si="48"/>
        <v>#REF!</v>
      </c>
      <c r="L259" s="103" t="e">
        <f t="shared" ca="1" si="49"/>
        <v>#REF!</v>
      </c>
      <c r="M259" s="103" t="e">
        <f t="shared" ca="1" si="50"/>
        <v>#REF!</v>
      </c>
      <c r="N259" s="104" t="e">
        <f t="shared" ca="1" si="51"/>
        <v>#REF!</v>
      </c>
    </row>
    <row r="260" spans="1:14">
      <c r="A260" s="96">
        <v>222</v>
      </c>
      <c r="B260" s="102" t="e">
        <f t="shared" ca="1" si="39"/>
        <v>#REF!</v>
      </c>
      <c r="C260" s="102" t="e">
        <f t="shared" ca="1" si="40"/>
        <v>#REF!</v>
      </c>
      <c r="D260" s="102" t="e">
        <f t="shared" ca="1" si="41"/>
        <v>#REF!</v>
      </c>
      <c r="E260" s="102" t="e">
        <f t="shared" ca="1" si="42"/>
        <v>#REF!</v>
      </c>
      <c r="F260" s="102" t="e">
        <f t="shared" ca="1" si="43"/>
        <v>#REF!</v>
      </c>
      <c r="G260" s="103">
        <f t="shared" ca="1" si="44"/>
        <v>0.43448831838812324</v>
      </c>
      <c r="H260" s="103">
        <f t="shared" ca="1" si="45"/>
        <v>0.20058898424165605</v>
      </c>
      <c r="I260" s="103" t="e">
        <f t="shared" ca="1" si="46"/>
        <v>#REF!</v>
      </c>
      <c r="J260" s="103" t="e">
        <f t="shared" ca="1" si="47"/>
        <v>#REF!</v>
      </c>
      <c r="K260" s="103" t="e">
        <f t="shared" ca="1" si="48"/>
        <v>#REF!</v>
      </c>
      <c r="L260" s="103" t="e">
        <f t="shared" ca="1" si="49"/>
        <v>#REF!</v>
      </c>
      <c r="M260" s="103" t="e">
        <f t="shared" ca="1" si="50"/>
        <v>#REF!</v>
      </c>
      <c r="N260" s="104" t="e">
        <f t="shared" ca="1" si="51"/>
        <v>#REF!</v>
      </c>
    </row>
    <row r="261" spans="1:14">
      <c r="A261" s="95">
        <v>223</v>
      </c>
      <c r="B261" s="102" t="e">
        <f t="shared" ca="1" si="39"/>
        <v>#REF!</v>
      </c>
      <c r="C261" s="102" t="e">
        <f t="shared" ca="1" si="40"/>
        <v>#REF!</v>
      </c>
      <c r="D261" s="102" t="e">
        <f t="shared" ca="1" si="41"/>
        <v>#REF!</v>
      </c>
      <c r="E261" s="102" t="e">
        <f t="shared" ca="1" si="42"/>
        <v>#REF!</v>
      </c>
      <c r="F261" s="102" t="e">
        <f t="shared" ca="1" si="43"/>
        <v>#REF!</v>
      </c>
      <c r="G261" s="103">
        <f t="shared" ca="1" si="44"/>
        <v>0.3893792049498494</v>
      </c>
      <c r="H261" s="103">
        <f t="shared" ca="1" si="45"/>
        <v>0.18887101161259584</v>
      </c>
      <c r="I261" s="103" t="e">
        <f t="shared" ca="1" si="46"/>
        <v>#REF!</v>
      </c>
      <c r="J261" s="103" t="e">
        <f t="shared" ca="1" si="47"/>
        <v>#REF!</v>
      </c>
      <c r="K261" s="103" t="e">
        <f t="shared" ca="1" si="48"/>
        <v>#REF!</v>
      </c>
      <c r="L261" s="103" t="e">
        <f t="shared" ca="1" si="49"/>
        <v>#REF!</v>
      </c>
      <c r="M261" s="103" t="e">
        <f t="shared" ca="1" si="50"/>
        <v>#REF!</v>
      </c>
      <c r="N261" s="104" t="e">
        <f t="shared" ca="1" si="51"/>
        <v>#REF!</v>
      </c>
    </row>
    <row r="262" spans="1:14">
      <c r="A262" s="96">
        <v>224</v>
      </c>
      <c r="B262" s="102" t="e">
        <f t="shared" ca="1" si="39"/>
        <v>#REF!</v>
      </c>
      <c r="C262" s="102" t="e">
        <f t="shared" ca="1" si="40"/>
        <v>#REF!</v>
      </c>
      <c r="D262" s="102" t="e">
        <f t="shared" ca="1" si="41"/>
        <v>#REF!</v>
      </c>
      <c r="E262" s="102" t="e">
        <f t="shared" ca="1" si="42"/>
        <v>#REF!</v>
      </c>
      <c r="F262" s="102" t="e">
        <f t="shared" ca="1" si="43"/>
        <v>#REF!</v>
      </c>
      <c r="G262" s="103">
        <f t="shared" ca="1" si="44"/>
        <v>0.4283743071114765</v>
      </c>
      <c r="H262" s="103">
        <f t="shared" ca="1" si="45"/>
        <v>0.22200647219265426</v>
      </c>
      <c r="I262" s="103" t="e">
        <f t="shared" ca="1" si="46"/>
        <v>#REF!</v>
      </c>
      <c r="J262" s="103" t="e">
        <f t="shared" ca="1" si="47"/>
        <v>#REF!</v>
      </c>
      <c r="K262" s="103" t="e">
        <f t="shared" ca="1" si="48"/>
        <v>#REF!</v>
      </c>
      <c r="L262" s="103" t="e">
        <f t="shared" ca="1" si="49"/>
        <v>#REF!</v>
      </c>
      <c r="M262" s="103" t="e">
        <f t="shared" ca="1" si="50"/>
        <v>#REF!</v>
      </c>
      <c r="N262" s="104" t="e">
        <f t="shared" ca="1" si="51"/>
        <v>#REF!</v>
      </c>
    </row>
    <row r="263" spans="1:14">
      <c r="A263" s="95">
        <v>225</v>
      </c>
      <c r="B263" s="102" t="e">
        <f t="shared" ca="1" si="39"/>
        <v>#REF!</v>
      </c>
      <c r="C263" s="102" t="e">
        <f t="shared" ca="1" si="40"/>
        <v>#REF!</v>
      </c>
      <c r="D263" s="102" t="e">
        <f t="shared" ca="1" si="41"/>
        <v>#REF!</v>
      </c>
      <c r="E263" s="102" t="e">
        <f t="shared" ca="1" si="42"/>
        <v>#REF!</v>
      </c>
      <c r="F263" s="102" t="e">
        <f t="shared" ca="1" si="43"/>
        <v>#REF!</v>
      </c>
      <c r="G263" s="103">
        <f t="shared" ca="1" si="44"/>
        <v>0.42124052696202863</v>
      </c>
      <c r="H263" s="103">
        <f t="shared" ca="1" si="45"/>
        <v>0.20056514658071981</v>
      </c>
      <c r="I263" s="103" t="e">
        <f t="shared" ca="1" si="46"/>
        <v>#REF!</v>
      </c>
      <c r="J263" s="103" t="e">
        <f t="shared" ca="1" si="47"/>
        <v>#REF!</v>
      </c>
      <c r="K263" s="103" t="e">
        <f t="shared" ca="1" si="48"/>
        <v>#REF!</v>
      </c>
      <c r="L263" s="103" t="e">
        <f t="shared" ca="1" si="49"/>
        <v>#REF!</v>
      </c>
      <c r="M263" s="103" t="e">
        <f t="shared" ca="1" si="50"/>
        <v>#REF!</v>
      </c>
      <c r="N263" s="104" t="e">
        <f t="shared" ca="1" si="51"/>
        <v>#REF!</v>
      </c>
    </row>
    <row r="264" spans="1:14">
      <c r="A264" s="96">
        <v>226</v>
      </c>
      <c r="B264" s="102" t="e">
        <f t="shared" ca="1" si="39"/>
        <v>#REF!</v>
      </c>
      <c r="C264" s="102" t="e">
        <f t="shared" ca="1" si="40"/>
        <v>#REF!</v>
      </c>
      <c r="D264" s="102" t="e">
        <f t="shared" ca="1" si="41"/>
        <v>#REF!</v>
      </c>
      <c r="E264" s="102" t="e">
        <f t="shared" ca="1" si="42"/>
        <v>#REF!</v>
      </c>
      <c r="F264" s="102" t="e">
        <f t="shared" ca="1" si="43"/>
        <v>#REF!</v>
      </c>
      <c r="G264" s="103">
        <f t="shared" ca="1" si="44"/>
        <v>0.45014573642594652</v>
      </c>
      <c r="H264" s="103">
        <f t="shared" ca="1" si="45"/>
        <v>0.16715123191054382</v>
      </c>
      <c r="I264" s="103" t="e">
        <f t="shared" ca="1" si="46"/>
        <v>#REF!</v>
      </c>
      <c r="J264" s="103" t="e">
        <f t="shared" ca="1" si="47"/>
        <v>#REF!</v>
      </c>
      <c r="K264" s="103" t="e">
        <f t="shared" ca="1" si="48"/>
        <v>#REF!</v>
      </c>
      <c r="L264" s="103" t="e">
        <f t="shared" ca="1" si="49"/>
        <v>#REF!</v>
      </c>
      <c r="M264" s="103" t="e">
        <f t="shared" ca="1" si="50"/>
        <v>#REF!</v>
      </c>
      <c r="N264" s="104" t="e">
        <f t="shared" ca="1" si="51"/>
        <v>#REF!</v>
      </c>
    </row>
    <row r="265" spans="1:14">
      <c r="A265" s="95">
        <v>227</v>
      </c>
      <c r="B265" s="102" t="e">
        <f t="shared" ca="1" si="39"/>
        <v>#REF!</v>
      </c>
      <c r="C265" s="102" t="e">
        <f t="shared" ca="1" si="40"/>
        <v>#REF!</v>
      </c>
      <c r="D265" s="102" t="e">
        <f t="shared" ca="1" si="41"/>
        <v>#REF!</v>
      </c>
      <c r="E265" s="102" t="e">
        <f t="shared" ca="1" si="42"/>
        <v>#REF!</v>
      </c>
      <c r="F265" s="102" t="e">
        <f t="shared" ca="1" si="43"/>
        <v>#REF!</v>
      </c>
      <c r="G265" s="103">
        <f t="shared" ca="1" si="44"/>
        <v>0.44480990213803251</v>
      </c>
      <c r="H265" s="103">
        <f t="shared" ca="1" si="45"/>
        <v>0.17465618155488835</v>
      </c>
      <c r="I265" s="103" t="e">
        <f t="shared" ca="1" si="46"/>
        <v>#REF!</v>
      </c>
      <c r="J265" s="103" t="e">
        <f t="shared" ca="1" si="47"/>
        <v>#REF!</v>
      </c>
      <c r="K265" s="103" t="e">
        <f t="shared" ca="1" si="48"/>
        <v>#REF!</v>
      </c>
      <c r="L265" s="103" t="e">
        <f t="shared" ca="1" si="49"/>
        <v>#REF!</v>
      </c>
      <c r="M265" s="103" t="e">
        <f t="shared" ca="1" si="50"/>
        <v>#REF!</v>
      </c>
      <c r="N265" s="104" t="e">
        <f t="shared" ca="1" si="51"/>
        <v>#REF!</v>
      </c>
    </row>
    <row r="266" spans="1:14">
      <c r="A266" s="96">
        <v>228</v>
      </c>
      <c r="B266" s="102" t="e">
        <f t="shared" ca="1" si="39"/>
        <v>#REF!</v>
      </c>
      <c r="C266" s="102" t="e">
        <f t="shared" ca="1" si="40"/>
        <v>#REF!</v>
      </c>
      <c r="D266" s="102" t="e">
        <f t="shared" ca="1" si="41"/>
        <v>#REF!</v>
      </c>
      <c r="E266" s="102" t="e">
        <f t="shared" ca="1" si="42"/>
        <v>#REF!</v>
      </c>
      <c r="F266" s="102" t="e">
        <f t="shared" ca="1" si="43"/>
        <v>#REF!</v>
      </c>
      <c r="G266" s="103">
        <f t="shared" ca="1" si="44"/>
        <v>0.42331840688932837</v>
      </c>
      <c r="H266" s="103">
        <f t="shared" ca="1" si="45"/>
        <v>0.21648517471996837</v>
      </c>
      <c r="I266" s="103" t="e">
        <f t="shared" ca="1" si="46"/>
        <v>#REF!</v>
      </c>
      <c r="J266" s="103" t="e">
        <f t="shared" ca="1" si="47"/>
        <v>#REF!</v>
      </c>
      <c r="K266" s="103" t="e">
        <f t="shared" ca="1" si="48"/>
        <v>#REF!</v>
      </c>
      <c r="L266" s="103" t="e">
        <f t="shared" ca="1" si="49"/>
        <v>#REF!</v>
      </c>
      <c r="M266" s="103" t="e">
        <f t="shared" ca="1" si="50"/>
        <v>#REF!</v>
      </c>
      <c r="N266" s="104" t="e">
        <f t="shared" ca="1" si="51"/>
        <v>#REF!</v>
      </c>
    </row>
    <row r="267" spans="1:14">
      <c r="A267" s="95">
        <v>229</v>
      </c>
      <c r="B267" s="102" t="e">
        <f t="shared" ca="1" si="39"/>
        <v>#REF!</v>
      </c>
      <c r="C267" s="102" t="e">
        <f t="shared" ca="1" si="40"/>
        <v>#REF!</v>
      </c>
      <c r="D267" s="102" t="e">
        <f t="shared" ca="1" si="41"/>
        <v>#REF!</v>
      </c>
      <c r="E267" s="102" t="e">
        <f t="shared" ca="1" si="42"/>
        <v>#REF!</v>
      </c>
      <c r="F267" s="102" t="e">
        <f t="shared" ca="1" si="43"/>
        <v>#REF!</v>
      </c>
      <c r="G267" s="103">
        <f t="shared" ca="1" si="44"/>
        <v>0.40550452244985841</v>
      </c>
      <c r="H267" s="103">
        <f t="shared" ca="1" si="45"/>
        <v>0.20073516333854102</v>
      </c>
      <c r="I267" s="103" t="e">
        <f t="shared" ca="1" si="46"/>
        <v>#REF!</v>
      </c>
      <c r="J267" s="103" t="e">
        <f t="shared" ca="1" si="47"/>
        <v>#REF!</v>
      </c>
      <c r="K267" s="103" t="e">
        <f t="shared" ca="1" si="48"/>
        <v>#REF!</v>
      </c>
      <c r="L267" s="103" t="e">
        <f t="shared" ca="1" si="49"/>
        <v>#REF!</v>
      </c>
      <c r="M267" s="103" t="e">
        <f t="shared" ca="1" si="50"/>
        <v>#REF!</v>
      </c>
      <c r="N267" s="104" t="e">
        <f t="shared" ca="1" si="51"/>
        <v>#REF!</v>
      </c>
    </row>
    <row r="268" spans="1:14">
      <c r="A268" s="96">
        <v>230</v>
      </c>
      <c r="B268" s="102" t="e">
        <f t="shared" ca="1" si="39"/>
        <v>#REF!</v>
      </c>
      <c r="C268" s="102" t="e">
        <f t="shared" ca="1" si="40"/>
        <v>#REF!</v>
      </c>
      <c r="D268" s="102" t="e">
        <f t="shared" ca="1" si="41"/>
        <v>#REF!</v>
      </c>
      <c r="E268" s="102" t="e">
        <f t="shared" ca="1" si="42"/>
        <v>#REF!</v>
      </c>
      <c r="F268" s="102" t="e">
        <f t="shared" ca="1" si="43"/>
        <v>#REF!</v>
      </c>
      <c r="G268" s="103">
        <f t="shared" ca="1" si="44"/>
        <v>0.40157536782997993</v>
      </c>
      <c r="H268" s="103">
        <f t="shared" ca="1" si="45"/>
        <v>0.18727932444030951</v>
      </c>
      <c r="I268" s="103" t="e">
        <f t="shared" ca="1" si="46"/>
        <v>#REF!</v>
      </c>
      <c r="J268" s="103" t="e">
        <f t="shared" ca="1" si="47"/>
        <v>#REF!</v>
      </c>
      <c r="K268" s="103" t="e">
        <f t="shared" ca="1" si="48"/>
        <v>#REF!</v>
      </c>
      <c r="L268" s="103" t="e">
        <f t="shared" ca="1" si="49"/>
        <v>#REF!</v>
      </c>
      <c r="M268" s="103" t="e">
        <f t="shared" ca="1" si="50"/>
        <v>#REF!</v>
      </c>
      <c r="N268" s="104" t="e">
        <f t="shared" ca="1" si="51"/>
        <v>#REF!</v>
      </c>
    </row>
    <row r="269" spans="1:14">
      <c r="A269" s="95">
        <v>231</v>
      </c>
      <c r="B269" s="102" t="e">
        <f t="shared" ca="1" si="39"/>
        <v>#REF!</v>
      </c>
      <c r="C269" s="102" t="e">
        <f t="shared" ca="1" si="40"/>
        <v>#REF!</v>
      </c>
      <c r="D269" s="102" t="e">
        <f t="shared" ca="1" si="41"/>
        <v>#REF!</v>
      </c>
      <c r="E269" s="102" t="e">
        <f t="shared" ca="1" si="42"/>
        <v>#REF!</v>
      </c>
      <c r="F269" s="102" t="e">
        <f t="shared" ca="1" si="43"/>
        <v>#REF!</v>
      </c>
      <c r="G269" s="103">
        <f t="shared" ca="1" si="44"/>
        <v>0.45603759615972789</v>
      </c>
      <c r="H269" s="103">
        <f t="shared" ca="1" si="45"/>
        <v>0.18205022779786426</v>
      </c>
      <c r="I269" s="103" t="e">
        <f t="shared" ca="1" si="46"/>
        <v>#REF!</v>
      </c>
      <c r="J269" s="103" t="e">
        <f t="shared" ca="1" si="47"/>
        <v>#REF!</v>
      </c>
      <c r="K269" s="103" t="e">
        <f t="shared" ca="1" si="48"/>
        <v>#REF!</v>
      </c>
      <c r="L269" s="103" t="e">
        <f t="shared" ca="1" si="49"/>
        <v>#REF!</v>
      </c>
      <c r="M269" s="103" t="e">
        <f t="shared" ca="1" si="50"/>
        <v>#REF!</v>
      </c>
      <c r="N269" s="104" t="e">
        <f t="shared" ca="1" si="51"/>
        <v>#REF!</v>
      </c>
    </row>
    <row r="270" spans="1:14">
      <c r="A270" s="96">
        <v>232</v>
      </c>
      <c r="B270" s="102" t="e">
        <f t="shared" ca="1" si="39"/>
        <v>#REF!</v>
      </c>
      <c r="C270" s="102" t="e">
        <f t="shared" ca="1" si="40"/>
        <v>#REF!</v>
      </c>
      <c r="D270" s="102" t="e">
        <f t="shared" ca="1" si="41"/>
        <v>#REF!</v>
      </c>
      <c r="E270" s="102" t="e">
        <f t="shared" ca="1" si="42"/>
        <v>#REF!</v>
      </c>
      <c r="F270" s="102" t="e">
        <f t="shared" ca="1" si="43"/>
        <v>#REF!</v>
      </c>
      <c r="G270" s="103">
        <f t="shared" ca="1" si="44"/>
        <v>0.45151175507828861</v>
      </c>
      <c r="H270" s="103">
        <f t="shared" ca="1" si="45"/>
        <v>0.20929172320405756</v>
      </c>
      <c r="I270" s="103" t="e">
        <f t="shared" ca="1" si="46"/>
        <v>#REF!</v>
      </c>
      <c r="J270" s="103" t="e">
        <f t="shared" ca="1" si="47"/>
        <v>#REF!</v>
      </c>
      <c r="K270" s="103" t="e">
        <f t="shared" ca="1" si="48"/>
        <v>#REF!</v>
      </c>
      <c r="L270" s="103" t="e">
        <f t="shared" ca="1" si="49"/>
        <v>#REF!</v>
      </c>
      <c r="M270" s="103" t="e">
        <f t="shared" ca="1" si="50"/>
        <v>#REF!</v>
      </c>
      <c r="N270" s="104" t="e">
        <f t="shared" ca="1" si="51"/>
        <v>#REF!</v>
      </c>
    </row>
    <row r="271" spans="1:14">
      <c r="A271" s="95">
        <v>233</v>
      </c>
      <c r="B271" s="102" t="e">
        <f t="shared" ca="1" si="39"/>
        <v>#REF!</v>
      </c>
      <c r="C271" s="102" t="e">
        <f t="shared" ca="1" si="40"/>
        <v>#REF!</v>
      </c>
      <c r="D271" s="102" t="e">
        <f t="shared" ca="1" si="41"/>
        <v>#REF!</v>
      </c>
      <c r="E271" s="102" t="e">
        <f t="shared" ca="1" si="42"/>
        <v>#REF!</v>
      </c>
      <c r="F271" s="102" t="e">
        <f t="shared" ca="1" si="43"/>
        <v>#REF!</v>
      </c>
      <c r="G271" s="103">
        <f t="shared" ca="1" si="44"/>
        <v>0.44603045051484863</v>
      </c>
      <c r="H271" s="103">
        <f t="shared" ca="1" si="45"/>
        <v>0.20005426032728618</v>
      </c>
      <c r="I271" s="103" t="e">
        <f t="shared" ca="1" si="46"/>
        <v>#REF!</v>
      </c>
      <c r="J271" s="103" t="e">
        <f t="shared" ca="1" si="47"/>
        <v>#REF!</v>
      </c>
      <c r="K271" s="103" t="e">
        <f t="shared" ca="1" si="48"/>
        <v>#REF!</v>
      </c>
      <c r="L271" s="103" t="e">
        <f t="shared" ca="1" si="49"/>
        <v>#REF!</v>
      </c>
      <c r="M271" s="103" t="e">
        <f t="shared" ca="1" si="50"/>
        <v>#REF!</v>
      </c>
      <c r="N271" s="104" t="e">
        <f t="shared" ca="1" si="51"/>
        <v>#REF!</v>
      </c>
    </row>
    <row r="272" spans="1:14">
      <c r="A272" s="96">
        <v>234</v>
      </c>
      <c r="B272" s="102" t="e">
        <f t="shared" ca="1" si="39"/>
        <v>#REF!</v>
      </c>
      <c r="C272" s="102" t="e">
        <f t="shared" ca="1" si="40"/>
        <v>#REF!</v>
      </c>
      <c r="D272" s="102" t="e">
        <f t="shared" ca="1" si="41"/>
        <v>#REF!</v>
      </c>
      <c r="E272" s="102" t="e">
        <f t="shared" ca="1" si="42"/>
        <v>#REF!</v>
      </c>
      <c r="F272" s="102" t="e">
        <f t="shared" ca="1" si="43"/>
        <v>#REF!</v>
      </c>
      <c r="G272" s="103">
        <f t="shared" ca="1" si="44"/>
        <v>0.38047889300426291</v>
      </c>
      <c r="H272" s="103">
        <f t="shared" ca="1" si="45"/>
        <v>0.19902963766605306</v>
      </c>
      <c r="I272" s="103" t="e">
        <f t="shared" ca="1" si="46"/>
        <v>#REF!</v>
      </c>
      <c r="J272" s="103" t="e">
        <f t="shared" ca="1" si="47"/>
        <v>#REF!</v>
      </c>
      <c r="K272" s="103" t="e">
        <f t="shared" ca="1" si="48"/>
        <v>#REF!</v>
      </c>
      <c r="L272" s="103" t="e">
        <f t="shared" ca="1" si="49"/>
        <v>#REF!</v>
      </c>
      <c r="M272" s="103" t="e">
        <f t="shared" ca="1" si="50"/>
        <v>#REF!</v>
      </c>
      <c r="N272" s="104" t="e">
        <f t="shared" ca="1" si="51"/>
        <v>#REF!</v>
      </c>
    </row>
    <row r="273" spans="1:14">
      <c r="A273" s="95">
        <v>235</v>
      </c>
      <c r="B273" s="102" t="e">
        <f t="shared" ca="1" si="39"/>
        <v>#REF!</v>
      </c>
      <c r="C273" s="102" t="e">
        <f t="shared" ca="1" si="40"/>
        <v>#REF!</v>
      </c>
      <c r="D273" s="102" t="e">
        <f t="shared" ca="1" si="41"/>
        <v>#REF!</v>
      </c>
      <c r="E273" s="102" t="e">
        <f t="shared" ca="1" si="42"/>
        <v>#REF!</v>
      </c>
      <c r="F273" s="102" t="e">
        <f t="shared" ca="1" si="43"/>
        <v>#REF!</v>
      </c>
      <c r="G273" s="103">
        <f t="shared" ca="1" si="44"/>
        <v>0.50112759858049294</v>
      </c>
      <c r="H273" s="103">
        <f t="shared" ca="1" si="45"/>
        <v>0.19792431667422131</v>
      </c>
      <c r="I273" s="103" t="e">
        <f t="shared" ca="1" si="46"/>
        <v>#REF!</v>
      </c>
      <c r="J273" s="103" t="e">
        <f t="shared" ca="1" si="47"/>
        <v>#REF!</v>
      </c>
      <c r="K273" s="103" t="e">
        <f t="shared" ca="1" si="48"/>
        <v>#REF!</v>
      </c>
      <c r="L273" s="103" t="e">
        <f t="shared" ca="1" si="49"/>
        <v>#REF!</v>
      </c>
      <c r="M273" s="103" t="e">
        <f t="shared" ca="1" si="50"/>
        <v>#REF!</v>
      </c>
      <c r="N273" s="104" t="e">
        <f t="shared" ca="1" si="51"/>
        <v>#REF!</v>
      </c>
    </row>
    <row r="274" spans="1:14">
      <c r="A274" s="96">
        <v>236</v>
      </c>
      <c r="B274" s="102" t="e">
        <f t="shared" ca="1" si="39"/>
        <v>#REF!</v>
      </c>
      <c r="C274" s="102" t="e">
        <f t="shared" ca="1" si="40"/>
        <v>#REF!</v>
      </c>
      <c r="D274" s="102" t="e">
        <f t="shared" ca="1" si="41"/>
        <v>#REF!</v>
      </c>
      <c r="E274" s="102" t="e">
        <f t="shared" ca="1" si="42"/>
        <v>#REF!</v>
      </c>
      <c r="F274" s="102" t="e">
        <f t="shared" ca="1" si="43"/>
        <v>#REF!</v>
      </c>
      <c r="G274" s="103">
        <f t="shared" ca="1" si="44"/>
        <v>0.40420276424598711</v>
      </c>
      <c r="H274" s="103">
        <f t="shared" ca="1" si="45"/>
        <v>0.18272655109891661</v>
      </c>
      <c r="I274" s="103" t="e">
        <f t="shared" ca="1" si="46"/>
        <v>#REF!</v>
      </c>
      <c r="J274" s="103" t="e">
        <f t="shared" ca="1" si="47"/>
        <v>#REF!</v>
      </c>
      <c r="K274" s="103" t="e">
        <f t="shared" ca="1" si="48"/>
        <v>#REF!</v>
      </c>
      <c r="L274" s="103" t="e">
        <f t="shared" ca="1" si="49"/>
        <v>#REF!</v>
      </c>
      <c r="M274" s="103" t="e">
        <f t="shared" ca="1" si="50"/>
        <v>#REF!</v>
      </c>
      <c r="N274" s="104" t="e">
        <f t="shared" ca="1" si="51"/>
        <v>#REF!</v>
      </c>
    </row>
    <row r="275" spans="1:14">
      <c r="A275" s="95">
        <v>237</v>
      </c>
      <c r="B275" s="102" t="e">
        <f t="shared" ca="1" si="39"/>
        <v>#REF!</v>
      </c>
      <c r="C275" s="102" t="e">
        <f t="shared" ca="1" si="40"/>
        <v>#REF!</v>
      </c>
      <c r="D275" s="102" t="e">
        <f t="shared" ca="1" si="41"/>
        <v>#REF!</v>
      </c>
      <c r="E275" s="102" t="e">
        <f t="shared" ca="1" si="42"/>
        <v>#REF!</v>
      </c>
      <c r="F275" s="102" t="e">
        <f t="shared" ca="1" si="43"/>
        <v>#REF!</v>
      </c>
      <c r="G275" s="103">
        <f t="shared" ca="1" si="44"/>
        <v>0.41490273659826771</v>
      </c>
      <c r="H275" s="103">
        <f t="shared" ca="1" si="45"/>
        <v>0.22493260787603855</v>
      </c>
      <c r="I275" s="103" t="e">
        <f t="shared" ca="1" si="46"/>
        <v>#REF!</v>
      </c>
      <c r="J275" s="103" t="e">
        <f t="shared" ca="1" si="47"/>
        <v>#REF!</v>
      </c>
      <c r="K275" s="103" t="e">
        <f t="shared" ca="1" si="48"/>
        <v>#REF!</v>
      </c>
      <c r="L275" s="103" t="e">
        <f t="shared" ca="1" si="49"/>
        <v>#REF!</v>
      </c>
      <c r="M275" s="103" t="e">
        <f t="shared" ca="1" si="50"/>
        <v>#REF!</v>
      </c>
      <c r="N275" s="104" t="e">
        <f t="shared" ca="1" si="51"/>
        <v>#REF!</v>
      </c>
    </row>
    <row r="276" spans="1:14">
      <c r="A276" s="96">
        <v>238</v>
      </c>
      <c r="B276" s="102" t="e">
        <f t="shared" ca="1" si="39"/>
        <v>#REF!</v>
      </c>
      <c r="C276" s="102" t="e">
        <f t="shared" ca="1" si="40"/>
        <v>#REF!</v>
      </c>
      <c r="D276" s="102" t="e">
        <f t="shared" ca="1" si="41"/>
        <v>#REF!</v>
      </c>
      <c r="E276" s="102" t="e">
        <f t="shared" ca="1" si="42"/>
        <v>#REF!</v>
      </c>
      <c r="F276" s="102" t="e">
        <f t="shared" ca="1" si="43"/>
        <v>#REF!</v>
      </c>
      <c r="G276" s="103">
        <f t="shared" ca="1" si="44"/>
        <v>0.41349544920298975</v>
      </c>
      <c r="H276" s="103">
        <f t="shared" ca="1" si="45"/>
        <v>0.19699931283964731</v>
      </c>
      <c r="I276" s="103" t="e">
        <f t="shared" ca="1" si="46"/>
        <v>#REF!</v>
      </c>
      <c r="J276" s="103" t="e">
        <f t="shared" ca="1" si="47"/>
        <v>#REF!</v>
      </c>
      <c r="K276" s="103" t="e">
        <f t="shared" ca="1" si="48"/>
        <v>#REF!</v>
      </c>
      <c r="L276" s="103" t="e">
        <f t="shared" ca="1" si="49"/>
        <v>#REF!</v>
      </c>
      <c r="M276" s="103" t="e">
        <f t="shared" ca="1" si="50"/>
        <v>#REF!</v>
      </c>
      <c r="N276" s="104" t="e">
        <f t="shared" ca="1" si="51"/>
        <v>#REF!</v>
      </c>
    </row>
    <row r="277" spans="1:14">
      <c r="A277" s="95">
        <v>239</v>
      </c>
      <c r="B277" s="102" t="e">
        <f t="shared" ca="1" si="39"/>
        <v>#REF!</v>
      </c>
      <c r="C277" s="102" t="e">
        <f t="shared" ca="1" si="40"/>
        <v>#REF!</v>
      </c>
      <c r="D277" s="102" t="e">
        <f t="shared" ca="1" si="41"/>
        <v>#REF!</v>
      </c>
      <c r="E277" s="102" t="e">
        <f t="shared" ca="1" si="42"/>
        <v>#REF!</v>
      </c>
      <c r="F277" s="102" t="e">
        <f t="shared" ca="1" si="43"/>
        <v>#REF!</v>
      </c>
      <c r="G277" s="103">
        <f t="shared" ca="1" si="44"/>
        <v>0.40968649876494889</v>
      </c>
      <c r="H277" s="103">
        <f t="shared" ca="1" si="45"/>
        <v>0.20421520697169385</v>
      </c>
      <c r="I277" s="103" t="e">
        <f t="shared" ca="1" si="46"/>
        <v>#REF!</v>
      </c>
      <c r="J277" s="103" t="e">
        <f t="shared" ca="1" si="47"/>
        <v>#REF!</v>
      </c>
      <c r="K277" s="103" t="e">
        <f t="shared" ca="1" si="48"/>
        <v>#REF!</v>
      </c>
      <c r="L277" s="103" t="e">
        <f t="shared" ca="1" si="49"/>
        <v>#REF!</v>
      </c>
      <c r="M277" s="103" t="e">
        <f t="shared" ca="1" si="50"/>
        <v>#REF!</v>
      </c>
      <c r="N277" s="104" t="e">
        <f t="shared" ca="1" si="51"/>
        <v>#REF!</v>
      </c>
    </row>
    <row r="278" spans="1:14">
      <c r="A278" s="96">
        <v>240</v>
      </c>
      <c r="B278" s="102" t="e">
        <f t="shared" ca="1" si="39"/>
        <v>#REF!</v>
      </c>
      <c r="C278" s="102" t="e">
        <f t="shared" ca="1" si="40"/>
        <v>#REF!</v>
      </c>
      <c r="D278" s="102" t="e">
        <f t="shared" ca="1" si="41"/>
        <v>#REF!</v>
      </c>
      <c r="E278" s="102" t="e">
        <f t="shared" ca="1" si="42"/>
        <v>#REF!</v>
      </c>
      <c r="F278" s="102" t="e">
        <f t="shared" ca="1" si="43"/>
        <v>#REF!</v>
      </c>
      <c r="G278" s="103">
        <f t="shared" ca="1" si="44"/>
        <v>0.40495293073936761</v>
      </c>
      <c r="H278" s="103">
        <f t="shared" ca="1" si="45"/>
        <v>0.18830601405892447</v>
      </c>
      <c r="I278" s="103" t="e">
        <f t="shared" ca="1" si="46"/>
        <v>#REF!</v>
      </c>
      <c r="J278" s="103" t="e">
        <f t="shared" ca="1" si="47"/>
        <v>#REF!</v>
      </c>
      <c r="K278" s="103" t="e">
        <f t="shared" ca="1" si="48"/>
        <v>#REF!</v>
      </c>
      <c r="L278" s="103" t="e">
        <f t="shared" ca="1" si="49"/>
        <v>#REF!</v>
      </c>
      <c r="M278" s="103" t="e">
        <f t="shared" ca="1" si="50"/>
        <v>#REF!</v>
      </c>
      <c r="N278" s="104" t="e">
        <f t="shared" ca="1" si="51"/>
        <v>#REF!</v>
      </c>
    </row>
    <row r="279" spans="1:14">
      <c r="A279" s="95">
        <v>241</v>
      </c>
      <c r="B279" s="102" t="e">
        <f t="shared" ca="1" si="39"/>
        <v>#REF!</v>
      </c>
      <c r="C279" s="102" t="e">
        <f t="shared" ca="1" si="40"/>
        <v>#REF!</v>
      </c>
      <c r="D279" s="102" t="e">
        <f t="shared" ca="1" si="41"/>
        <v>#REF!</v>
      </c>
      <c r="E279" s="102" t="e">
        <f t="shared" ca="1" si="42"/>
        <v>#REF!</v>
      </c>
      <c r="F279" s="102" t="e">
        <f t="shared" ca="1" si="43"/>
        <v>#REF!</v>
      </c>
      <c r="G279" s="103">
        <f t="shared" ca="1" si="44"/>
        <v>0.44348973962814486</v>
      </c>
      <c r="H279" s="103">
        <f t="shared" ca="1" si="45"/>
        <v>0.1701578922883476</v>
      </c>
      <c r="I279" s="103" t="e">
        <f t="shared" ca="1" si="46"/>
        <v>#REF!</v>
      </c>
      <c r="J279" s="103" t="e">
        <f t="shared" ca="1" si="47"/>
        <v>#REF!</v>
      </c>
      <c r="K279" s="103" t="e">
        <f t="shared" ca="1" si="48"/>
        <v>#REF!</v>
      </c>
      <c r="L279" s="103" t="e">
        <f t="shared" ca="1" si="49"/>
        <v>#REF!</v>
      </c>
      <c r="M279" s="103" t="e">
        <f t="shared" ca="1" si="50"/>
        <v>#REF!</v>
      </c>
      <c r="N279" s="104" t="e">
        <f t="shared" ca="1" si="51"/>
        <v>#REF!</v>
      </c>
    </row>
    <row r="280" spans="1:14">
      <c r="A280" s="96">
        <v>242</v>
      </c>
      <c r="B280" s="102" t="e">
        <f t="shared" ca="1" si="39"/>
        <v>#REF!</v>
      </c>
      <c r="C280" s="102" t="e">
        <f t="shared" ca="1" si="40"/>
        <v>#REF!</v>
      </c>
      <c r="D280" s="102" t="e">
        <f t="shared" ca="1" si="41"/>
        <v>#REF!</v>
      </c>
      <c r="E280" s="102" t="e">
        <f t="shared" ca="1" si="42"/>
        <v>#REF!</v>
      </c>
      <c r="F280" s="102" t="e">
        <f t="shared" ca="1" si="43"/>
        <v>#REF!</v>
      </c>
      <c r="G280" s="103">
        <f t="shared" ca="1" si="44"/>
        <v>0.46599522944114885</v>
      </c>
      <c r="H280" s="103">
        <f t="shared" ca="1" si="45"/>
        <v>0.22891931339379221</v>
      </c>
      <c r="I280" s="103" t="e">
        <f t="shared" ca="1" si="46"/>
        <v>#REF!</v>
      </c>
      <c r="J280" s="103" t="e">
        <f t="shared" ca="1" si="47"/>
        <v>#REF!</v>
      </c>
      <c r="K280" s="103" t="e">
        <f t="shared" ca="1" si="48"/>
        <v>#REF!</v>
      </c>
      <c r="L280" s="103" t="e">
        <f t="shared" ca="1" si="49"/>
        <v>#REF!</v>
      </c>
      <c r="M280" s="103" t="e">
        <f t="shared" ca="1" si="50"/>
        <v>#REF!</v>
      </c>
      <c r="N280" s="104" t="e">
        <f t="shared" ca="1" si="51"/>
        <v>#REF!</v>
      </c>
    </row>
    <row r="281" spans="1:14">
      <c r="A281" s="95">
        <v>243</v>
      </c>
      <c r="B281" s="102" t="e">
        <f t="shared" ca="1" si="39"/>
        <v>#REF!</v>
      </c>
      <c r="C281" s="102" t="e">
        <f t="shared" ca="1" si="40"/>
        <v>#REF!</v>
      </c>
      <c r="D281" s="102" t="e">
        <f t="shared" ca="1" si="41"/>
        <v>#REF!</v>
      </c>
      <c r="E281" s="102" t="e">
        <f t="shared" ca="1" si="42"/>
        <v>#REF!</v>
      </c>
      <c r="F281" s="102" t="e">
        <f t="shared" ca="1" si="43"/>
        <v>#REF!</v>
      </c>
      <c r="G281" s="103">
        <f t="shared" ca="1" si="44"/>
        <v>0.39425202161595385</v>
      </c>
      <c r="H281" s="103">
        <f t="shared" ca="1" si="45"/>
        <v>0.22087219314997691</v>
      </c>
      <c r="I281" s="103" t="e">
        <f t="shared" ca="1" si="46"/>
        <v>#REF!</v>
      </c>
      <c r="J281" s="103" t="e">
        <f t="shared" ca="1" si="47"/>
        <v>#REF!</v>
      </c>
      <c r="K281" s="103" t="e">
        <f t="shared" ca="1" si="48"/>
        <v>#REF!</v>
      </c>
      <c r="L281" s="103" t="e">
        <f t="shared" ca="1" si="49"/>
        <v>#REF!</v>
      </c>
      <c r="M281" s="103" t="e">
        <f t="shared" ca="1" si="50"/>
        <v>#REF!</v>
      </c>
      <c r="N281" s="104" t="e">
        <f t="shared" ca="1" si="51"/>
        <v>#REF!</v>
      </c>
    </row>
    <row r="282" spans="1:14">
      <c r="A282" s="96">
        <v>244</v>
      </c>
      <c r="B282" s="102" t="e">
        <f t="shared" ca="1" si="39"/>
        <v>#REF!</v>
      </c>
      <c r="C282" s="102" t="e">
        <f t="shared" ca="1" si="40"/>
        <v>#REF!</v>
      </c>
      <c r="D282" s="102" t="e">
        <f t="shared" ca="1" si="41"/>
        <v>#REF!</v>
      </c>
      <c r="E282" s="102" t="e">
        <f t="shared" ca="1" si="42"/>
        <v>#REF!</v>
      </c>
      <c r="F282" s="102" t="e">
        <f t="shared" ca="1" si="43"/>
        <v>#REF!</v>
      </c>
      <c r="G282" s="103">
        <f t="shared" ca="1" si="44"/>
        <v>0.43877496597757709</v>
      </c>
      <c r="H282" s="103">
        <f t="shared" ca="1" si="45"/>
        <v>0.2014926675517848</v>
      </c>
      <c r="I282" s="103" t="e">
        <f t="shared" ca="1" si="46"/>
        <v>#REF!</v>
      </c>
      <c r="J282" s="103" t="e">
        <f t="shared" ca="1" si="47"/>
        <v>#REF!</v>
      </c>
      <c r="K282" s="103" t="e">
        <f t="shared" ca="1" si="48"/>
        <v>#REF!</v>
      </c>
      <c r="L282" s="103" t="e">
        <f t="shared" ca="1" si="49"/>
        <v>#REF!</v>
      </c>
      <c r="M282" s="103" t="e">
        <f t="shared" ca="1" si="50"/>
        <v>#REF!</v>
      </c>
      <c r="N282" s="104" t="e">
        <f t="shared" ca="1" si="51"/>
        <v>#REF!</v>
      </c>
    </row>
    <row r="283" spans="1:14">
      <c r="A283" s="95">
        <v>245</v>
      </c>
      <c r="B283" s="102" t="e">
        <f t="shared" ca="1" si="39"/>
        <v>#REF!</v>
      </c>
      <c r="C283" s="102" t="e">
        <f t="shared" ca="1" si="40"/>
        <v>#REF!</v>
      </c>
      <c r="D283" s="102" t="e">
        <f t="shared" ca="1" si="41"/>
        <v>#REF!</v>
      </c>
      <c r="E283" s="102" t="e">
        <f t="shared" ca="1" si="42"/>
        <v>#REF!</v>
      </c>
      <c r="F283" s="102" t="e">
        <f t="shared" ca="1" si="43"/>
        <v>#REF!</v>
      </c>
      <c r="G283" s="103">
        <f t="shared" ca="1" si="44"/>
        <v>0.41259817891672651</v>
      </c>
      <c r="H283" s="103">
        <f t="shared" ca="1" si="45"/>
        <v>0.16665702190624079</v>
      </c>
      <c r="I283" s="103" t="e">
        <f t="shared" ca="1" si="46"/>
        <v>#REF!</v>
      </c>
      <c r="J283" s="103" t="e">
        <f t="shared" ca="1" si="47"/>
        <v>#REF!</v>
      </c>
      <c r="K283" s="103" t="e">
        <f t="shared" ca="1" si="48"/>
        <v>#REF!</v>
      </c>
      <c r="L283" s="103" t="e">
        <f t="shared" ca="1" si="49"/>
        <v>#REF!</v>
      </c>
      <c r="M283" s="103" t="e">
        <f t="shared" ca="1" si="50"/>
        <v>#REF!</v>
      </c>
      <c r="N283" s="104" t="e">
        <f t="shared" ca="1" si="51"/>
        <v>#REF!</v>
      </c>
    </row>
    <row r="284" spans="1:14">
      <c r="A284" s="96">
        <v>246</v>
      </c>
      <c r="B284" s="102" t="e">
        <f t="shared" ca="1" si="39"/>
        <v>#REF!</v>
      </c>
      <c r="C284" s="102" t="e">
        <f t="shared" ca="1" si="40"/>
        <v>#REF!</v>
      </c>
      <c r="D284" s="102" t="e">
        <f t="shared" ca="1" si="41"/>
        <v>#REF!</v>
      </c>
      <c r="E284" s="102" t="e">
        <f t="shared" ca="1" si="42"/>
        <v>#REF!</v>
      </c>
      <c r="F284" s="102" t="e">
        <f t="shared" ca="1" si="43"/>
        <v>#REF!</v>
      </c>
      <c r="G284" s="103">
        <f t="shared" ca="1" si="44"/>
        <v>0.43451215284779504</v>
      </c>
      <c r="H284" s="103">
        <f t="shared" ca="1" si="45"/>
        <v>0.23464551953757726</v>
      </c>
      <c r="I284" s="103" t="e">
        <f t="shared" ca="1" si="46"/>
        <v>#REF!</v>
      </c>
      <c r="J284" s="103" t="e">
        <f t="shared" ca="1" si="47"/>
        <v>#REF!</v>
      </c>
      <c r="K284" s="103" t="e">
        <f t="shared" ca="1" si="48"/>
        <v>#REF!</v>
      </c>
      <c r="L284" s="103" t="e">
        <f t="shared" ca="1" si="49"/>
        <v>#REF!</v>
      </c>
      <c r="M284" s="103" t="e">
        <f t="shared" ca="1" si="50"/>
        <v>#REF!</v>
      </c>
      <c r="N284" s="104" t="e">
        <f t="shared" ca="1" si="51"/>
        <v>#REF!</v>
      </c>
    </row>
    <row r="285" spans="1:14">
      <c r="A285" s="95">
        <v>247</v>
      </c>
      <c r="B285" s="102" t="e">
        <f t="shared" ca="1" si="39"/>
        <v>#REF!</v>
      </c>
      <c r="C285" s="102" t="e">
        <f t="shared" ca="1" si="40"/>
        <v>#REF!</v>
      </c>
      <c r="D285" s="102" t="e">
        <f t="shared" ca="1" si="41"/>
        <v>#REF!</v>
      </c>
      <c r="E285" s="102" t="e">
        <f t="shared" ca="1" si="42"/>
        <v>#REF!</v>
      </c>
      <c r="F285" s="102" t="e">
        <f t="shared" ca="1" si="43"/>
        <v>#REF!</v>
      </c>
      <c r="G285" s="103">
        <f t="shared" ca="1" si="44"/>
        <v>0.40895650997809696</v>
      </c>
      <c r="H285" s="103">
        <f t="shared" ca="1" si="45"/>
        <v>0.20737941765194898</v>
      </c>
      <c r="I285" s="103" t="e">
        <f t="shared" ca="1" si="46"/>
        <v>#REF!</v>
      </c>
      <c r="J285" s="103" t="e">
        <f t="shared" ca="1" si="47"/>
        <v>#REF!</v>
      </c>
      <c r="K285" s="103" t="e">
        <f t="shared" ca="1" si="48"/>
        <v>#REF!</v>
      </c>
      <c r="L285" s="103" t="e">
        <f t="shared" ca="1" si="49"/>
        <v>#REF!</v>
      </c>
      <c r="M285" s="103" t="e">
        <f t="shared" ca="1" si="50"/>
        <v>#REF!</v>
      </c>
      <c r="N285" s="104" t="e">
        <f t="shared" ca="1" si="51"/>
        <v>#REF!</v>
      </c>
    </row>
    <row r="286" spans="1:14">
      <c r="A286" s="96">
        <v>248</v>
      </c>
      <c r="B286" s="102" t="e">
        <f t="shared" ca="1" si="39"/>
        <v>#REF!</v>
      </c>
      <c r="C286" s="102" t="e">
        <f t="shared" ca="1" si="40"/>
        <v>#REF!</v>
      </c>
      <c r="D286" s="102" t="e">
        <f t="shared" ca="1" si="41"/>
        <v>#REF!</v>
      </c>
      <c r="E286" s="102" t="e">
        <f t="shared" ca="1" si="42"/>
        <v>#REF!</v>
      </c>
      <c r="F286" s="102" t="e">
        <f t="shared" ca="1" si="43"/>
        <v>#REF!</v>
      </c>
      <c r="G286" s="103">
        <f t="shared" ca="1" si="44"/>
        <v>0.46302879451566209</v>
      </c>
      <c r="H286" s="103">
        <f t="shared" ca="1" si="45"/>
        <v>0.20723466222586809</v>
      </c>
      <c r="I286" s="103" t="e">
        <f t="shared" ca="1" si="46"/>
        <v>#REF!</v>
      </c>
      <c r="J286" s="103" t="e">
        <f t="shared" ca="1" si="47"/>
        <v>#REF!</v>
      </c>
      <c r="K286" s="103" t="e">
        <f t="shared" ca="1" si="48"/>
        <v>#REF!</v>
      </c>
      <c r="L286" s="103" t="e">
        <f t="shared" ca="1" si="49"/>
        <v>#REF!</v>
      </c>
      <c r="M286" s="103" t="e">
        <f t="shared" ca="1" si="50"/>
        <v>#REF!</v>
      </c>
      <c r="N286" s="104" t="e">
        <f t="shared" ca="1" si="51"/>
        <v>#REF!</v>
      </c>
    </row>
    <row r="287" spans="1:14">
      <c r="A287" s="95">
        <v>249</v>
      </c>
      <c r="B287" s="102" t="e">
        <f t="shared" ca="1" si="39"/>
        <v>#REF!</v>
      </c>
      <c r="C287" s="102" t="e">
        <f t="shared" ca="1" si="40"/>
        <v>#REF!</v>
      </c>
      <c r="D287" s="102" t="e">
        <f t="shared" ca="1" si="41"/>
        <v>#REF!</v>
      </c>
      <c r="E287" s="102" t="e">
        <f t="shared" ca="1" si="42"/>
        <v>#REF!</v>
      </c>
      <c r="F287" s="102" t="e">
        <f t="shared" ca="1" si="43"/>
        <v>#REF!</v>
      </c>
      <c r="G287" s="103">
        <f t="shared" ca="1" si="44"/>
        <v>0.40221369892865666</v>
      </c>
      <c r="H287" s="103">
        <f t="shared" ca="1" si="45"/>
        <v>0.183338107526377</v>
      </c>
      <c r="I287" s="103" t="e">
        <f t="shared" ca="1" si="46"/>
        <v>#REF!</v>
      </c>
      <c r="J287" s="103" t="e">
        <f t="shared" ca="1" si="47"/>
        <v>#REF!</v>
      </c>
      <c r="K287" s="103" t="e">
        <f t="shared" ca="1" si="48"/>
        <v>#REF!</v>
      </c>
      <c r="L287" s="103" t="e">
        <f t="shared" ca="1" si="49"/>
        <v>#REF!</v>
      </c>
      <c r="M287" s="103" t="e">
        <f t="shared" ca="1" si="50"/>
        <v>#REF!</v>
      </c>
      <c r="N287" s="104" t="e">
        <f t="shared" ca="1" si="51"/>
        <v>#REF!</v>
      </c>
    </row>
    <row r="288" spans="1:14">
      <c r="A288" s="96">
        <v>250</v>
      </c>
      <c r="B288" s="102" t="e">
        <f t="shared" ca="1" si="39"/>
        <v>#REF!</v>
      </c>
      <c r="C288" s="102" t="e">
        <f t="shared" ca="1" si="40"/>
        <v>#REF!</v>
      </c>
      <c r="D288" s="102" t="e">
        <f t="shared" ca="1" si="41"/>
        <v>#REF!</v>
      </c>
      <c r="E288" s="102" t="e">
        <f t="shared" ca="1" si="42"/>
        <v>#REF!</v>
      </c>
      <c r="F288" s="102" t="e">
        <f t="shared" ca="1" si="43"/>
        <v>#REF!</v>
      </c>
      <c r="G288" s="103">
        <f t="shared" ca="1" si="44"/>
        <v>0.40131763343615173</v>
      </c>
      <c r="H288" s="103">
        <f t="shared" ca="1" si="45"/>
        <v>0.22768396478341912</v>
      </c>
      <c r="I288" s="103" t="e">
        <f t="shared" ca="1" si="46"/>
        <v>#REF!</v>
      </c>
      <c r="J288" s="103" t="e">
        <f t="shared" ca="1" si="47"/>
        <v>#REF!</v>
      </c>
      <c r="K288" s="103" t="e">
        <f t="shared" ca="1" si="48"/>
        <v>#REF!</v>
      </c>
      <c r="L288" s="103" t="e">
        <f t="shared" ca="1" si="49"/>
        <v>#REF!</v>
      </c>
      <c r="M288" s="103" t="e">
        <f t="shared" ca="1" si="50"/>
        <v>#REF!</v>
      </c>
      <c r="N288" s="104" t="e">
        <f t="shared" ca="1" si="51"/>
        <v>#REF!</v>
      </c>
    </row>
    <row r="289" spans="1:14">
      <c r="A289" s="95">
        <v>251</v>
      </c>
      <c r="B289" s="102" t="e">
        <f t="shared" ca="1" si="39"/>
        <v>#REF!</v>
      </c>
      <c r="C289" s="102" t="e">
        <f t="shared" ca="1" si="40"/>
        <v>#REF!</v>
      </c>
      <c r="D289" s="102" t="e">
        <f t="shared" ca="1" si="41"/>
        <v>#REF!</v>
      </c>
      <c r="E289" s="102" t="e">
        <f t="shared" ca="1" si="42"/>
        <v>#REF!</v>
      </c>
      <c r="F289" s="102" t="e">
        <f t="shared" ca="1" si="43"/>
        <v>#REF!</v>
      </c>
      <c r="G289" s="103">
        <f t="shared" ca="1" si="44"/>
        <v>0.42429217224700361</v>
      </c>
      <c r="H289" s="103">
        <f t="shared" ca="1" si="45"/>
        <v>0.20084180020156991</v>
      </c>
      <c r="I289" s="103" t="e">
        <f t="shared" ca="1" si="46"/>
        <v>#REF!</v>
      </c>
      <c r="J289" s="103" t="e">
        <f t="shared" ca="1" si="47"/>
        <v>#REF!</v>
      </c>
      <c r="K289" s="103" t="e">
        <f t="shared" ca="1" si="48"/>
        <v>#REF!</v>
      </c>
      <c r="L289" s="103" t="e">
        <f t="shared" ca="1" si="49"/>
        <v>#REF!</v>
      </c>
      <c r="M289" s="103" t="e">
        <f t="shared" ca="1" si="50"/>
        <v>#REF!</v>
      </c>
      <c r="N289" s="104" t="e">
        <f t="shared" ca="1" si="51"/>
        <v>#REF!</v>
      </c>
    </row>
    <row r="290" spans="1:14">
      <c r="A290" s="96">
        <v>252</v>
      </c>
      <c r="B290" s="102" t="e">
        <f t="shared" ca="1" si="39"/>
        <v>#REF!</v>
      </c>
      <c r="C290" s="102" t="e">
        <f t="shared" ca="1" si="40"/>
        <v>#REF!</v>
      </c>
      <c r="D290" s="102" t="e">
        <f t="shared" ca="1" si="41"/>
        <v>#REF!</v>
      </c>
      <c r="E290" s="102" t="e">
        <f t="shared" ca="1" si="42"/>
        <v>#REF!</v>
      </c>
      <c r="F290" s="102" t="e">
        <f t="shared" ca="1" si="43"/>
        <v>#REF!</v>
      </c>
      <c r="G290" s="103">
        <f t="shared" ca="1" si="44"/>
        <v>0.41242830296730237</v>
      </c>
      <c r="H290" s="103">
        <f t="shared" ca="1" si="45"/>
        <v>0.19410124793515193</v>
      </c>
      <c r="I290" s="103" t="e">
        <f t="shared" ca="1" si="46"/>
        <v>#REF!</v>
      </c>
      <c r="J290" s="103" t="e">
        <f t="shared" ca="1" si="47"/>
        <v>#REF!</v>
      </c>
      <c r="K290" s="103" t="e">
        <f t="shared" ca="1" si="48"/>
        <v>#REF!</v>
      </c>
      <c r="L290" s="103" t="e">
        <f t="shared" ca="1" si="49"/>
        <v>#REF!</v>
      </c>
      <c r="M290" s="103" t="e">
        <f t="shared" ca="1" si="50"/>
        <v>#REF!</v>
      </c>
      <c r="N290" s="104" t="e">
        <f t="shared" ca="1" si="51"/>
        <v>#REF!</v>
      </c>
    </row>
    <row r="291" spans="1:14">
      <c r="A291" s="95">
        <v>253</v>
      </c>
      <c r="B291" s="102" t="e">
        <f t="shared" ca="1" si="39"/>
        <v>#REF!</v>
      </c>
      <c r="C291" s="102" t="e">
        <f t="shared" ca="1" si="40"/>
        <v>#REF!</v>
      </c>
      <c r="D291" s="102" t="e">
        <f t="shared" ca="1" si="41"/>
        <v>#REF!</v>
      </c>
      <c r="E291" s="102" t="e">
        <f t="shared" ca="1" si="42"/>
        <v>#REF!</v>
      </c>
      <c r="F291" s="102" t="e">
        <f t="shared" ca="1" si="43"/>
        <v>#REF!</v>
      </c>
      <c r="G291" s="103">
        <f t="shared" ca="1" si="44"/>
        <v>0.41929132017278592</v>
      </c>
      <c r="H291" s="103">
        <f t="shared" ca="1" si="45"/>
        <v>0.20834412593323595</v>
      </c>
      <c r="I291" s="103" t="e">
        <f t="shared" ca="1" si="46"/>
        <v>#REF!</v>
      </c>
      <c r="J291" s="103" t="e">
        <f t="shared" ca="1" si="47"/>
        <v>#REF!</v>
      </c>
      <c r="K291" s="103" t="e">
        <f t="shared" ca="1" si="48"/>
        <v>#REF!</v>
      </c>
      <c r="L291" s="103" t="e">
        <f t="shared" ca="1" si="49"/>
        <v>#REF!</v>
      </c>
      <c r="M291" s="103" t="e">
        <f t="shared" ca="1" si="50"/>
        <v>#REF!</v>
      </c>
      <c r="N291" s="104" t="e">
        <f t="shared" ca="1" si="51"/>
        <v>#REF!</v>
      </c>
    </row>
    <row r="292" spans="1:14">
      <c r="A292" s="96">
        <v>254</v>
      </c>
      <c r="B292" s="102" t="e">
        <f t="shared" ca="1" si="39"/>
        <v>#REF!</v>
      </c>
      <c r="C292" s="102" t="e">
        <f t="shared" ca="1" si="40"/>
        <v>#REF!</v>
      </c>
      <c r="D292" s="102" t="e">
        <f t="shared" ca="1" si="41"/>
        <v>#REF!</v>
      </c>
      <c r="E292" s="102" t="e">
        <f t="shared" ca="1" si="42"/>
        <v>#REF!</v>
      </c>
      <c r="F292" s="102" t="e">
        <f t="shared" ca="1" si="43"/>
        <v>#REF!</v>
      </c>
      <c r="G292" s="103">
        <f t="shared" ca="1" si="44"/>
        <v>0.44063906836297639</v>
      </c>
      <c r="H292" s="103">
        <f t="shared" ca="1" si="45"/>
        <v>0.19976960254350953</v>
      </c>
      <c r="I292" s="103" t="e">
        <f t="shared" ca="1" si="46"/>
        <v>#REF!</v>
      </c>
      <c r="J292" s="103" t="e">
        <f t="shared" ca="1" si="47"/>
        <v>#REF!</v>
      </c>
      <c r="K292" s="103" t="e">
        <f t="shared" ca="1" si="48"/>
        <v>#REF!</v>
      </c>
      <c r="L292" s="103" t="e">
        <f t="shared" ca="1" si="49"/>
        <v>#REF!</v>
      </c>
      <c r="M292" s="103" t="e">
        <f t="shared" ca="1" si="50"/>
        <v>#REF!</v>
      </c>
      <c r="N292" s="104" t="e">
        <f t="shared" ca="1" si="51"/>
        <v>#REF!</v>
      </c>
    </row>
    <row r="293" spans="1:14">
      <c r="A293" s="95">
        <v>255</v>
      </c>
      <c r="B293" s="102" t="e">
        <f t="shared" ca="1" si="39"/>
        <v>#REF!</v>
      </c>
      <c r="C293" s="102" t="e">
        <f t="shared" ca="1" si="40"/>
        <v>#REF!</v>
      </c>
      <c r="D293" s="102" t="e">
        <f t="shared" ca="1" si="41"/>
        <v>#REF!</v>
      </c>
      <c r="E293" s="102" t="e">
        <f t="shared" ca="1" si="42"/>
        <v>#REF!</v>
      </c>
      <c r="F293" s="102" t="e">
        <f t="shared" ca="1" si="43"/>
        <v>#REF!</v>
      </c>
      <c r="G293" s="103">
        <f t="shared" ca="1" si="44"/>
        <v>0.45402994952109987</v>
      </c>
      <c r="H293" s="103">
        <f t="shared" ca="1" si="45"/>
        <v>0.21683266224909817</v>
      </c>
      <c r="I293" s="103" t="e">
        <f t="shared" ca="1" si="46"/>
        <v>#REF!</v>
      </c>
      <c r="J293" s="103" t="e">
        <f t="shared" ca="1" si="47"/>
        <v>#REF!</v>
      </c>
      <c r="K293" s="103" t="e">
        <f t="shared" ca="1" si="48"/>
        <v>#REF!</v>
      </c>
      <c r="L293" s="103" t="e">
        <f t="shared" ca="1" si="49"/>
        <v>#REF!</v>
      </c>
      <c r="M293" s="103" t="e">
        <f t="shared" ca="1" si="50"/>
        <v>#REF!</v>
      </c>
      <c r="N293" s="104" t="e">
        <f t="shared" ca="1" si="51"/>
        <v>#REF!</v>
      </c>
    </row>
    <row r="294" spans="1:14">
      <c r="A294" s="96">
        <v>256</v>
      </c>
      <c r="B294" s="102" t="e">
        <f t="shared" ca="1" si="39"/>
        <v>#REF!</v>
      </c>
      <c r="C294" s="102" t="e">
        <f t="shared" ca="1" si="40"/>
        <v>#REF!</v>
      </c>
      <c r="D294" s="102" t="e">
        <f t="shared" ca="1" si="41"/>
        <v>#REF!</v>
      </c>
      <c r="E294" s="102" t="e">
        <f t="shared" ca="1" si="42"/>
        <v>#REF!</v>
      </c>
      <c r="F294" s="102" t="e">
        <f t="shared" ca="1" si="43"/>
        <v>#REF!</v>
      </c>
      <c r="G294" s="103">
        <f t="shared" ca="1" si="44"/>
        <v>0.44601365057549164</v>
      </c>
      <c r="H294" s="103">
        <f t="shared" ca="1" si="45"/>
        <v>0.21025913093999701</v>
      </c>
      <c r="I294" s="103" t="e">
        <f t="shared" ca="1" si="46"/>
        <v>#REF!</v>
      </c>
      <c r="J294" s="103" t="e">
        <f t="shared" ca="1" si="47"/>
        <v>#REF!</v>
      </c>
      <c r="K294" s="103" t="e">
        <f t="shared" ca="1" si="48"/>
        <v>#REF!</v>
      </c>
      <c r="L294" s="103" t="e">
        <f t="shared" ca="1" si="49"/>
        <v>#REF!</v>
      </c>
      <c r="M294" s="103" t="e">
        <f t="shared" ca="1" si="50"/>
        <v>#REF!</v>
      </c>
      <c r="N294" s="104" t="e">
        <f t="shared" ca="1" si="51"/>
        <v>#REF!</v>
      </c>
    </row>
    <row r="295" spans="1:14">
      <c r="A295" s="95">
        <v>257</v>
      </c>
      <c r="B295" s="102" t="e">
        <f t="shared" ca="1" si="39"/>
        <v>#REF!</v>
      </c>
      <c r="C295" s="102" t="e">
        <f t="shared" ca="1" si="40"/>
        <v>#REF!</v>
      </c>
      <c r="D295" s="102" t="e">
        <f t="shared" ca="1" si="41"/>
        <v>#REF!</v>
      </c>
      <c r="E295" s="102" t="e">
        <f t="shared" ca="1" si="42"/>
        <v>#REF!</v>
      </c>
      <c r="F295" s="102" t="e">
        <f t="shared" ca="1" si="43"/>
        <v>#REF!</v>
      </c>
      <c r="G295" s="103">
        <f t="shared" ca="1" si="44"/>
        <v>0.42436167172256212</v>
      </c>
      <c r="H295" s="103">
        <f t="shared" ca="1" si="45"/>
        <v>0.21897641640333074</v>
      </c>
      <c r="I295" s="103" t="e">
        <f t="shared" ca="1" si="46"/>
        <v>#REF!</v>
      </c>
      <c r="J295" s="103" t="e">
        <f t="shared" ca="1" si="47"/>
        <v>#REF!</v>
      </c>
      <c r="K295" s="103" t="e">
        <f t="shared" ca="1" si="48"/>
        <v>#REF!</v>
      </c>
      <c r="L295" s="103" t="e">
        <f t="shared" ca="1" si="49"/>
        <v>#REF!</v>
      </c>
      <c r="M295" s="103" t="e">
        <f t="shared" ca="1" si="50"/>
        <v>#REF!</v>
      </c>
      <c r="N295" s="104" t="e">
        <f t="shared" ca="1" si="51"/>
        <v>#REF!</v>
      </c>
    </row>
    <row r="296" spans="1:14">
      <c r="A296" s="96">
        <v>258</v>
      </c>
      <c r="B296" s="102" t="e">
        <f t="shared" ref="B296:B359" ca="1" si="52">_xlfn.LOGNORM.INV(RAND(),$D$5,$E$5)</f>
        <v>#REF!</v>
      </c>
      <c r="C296" s="102" t="e">
        <f t="shared" ref="C296:C359" ca="1" si="53">_xlfn.LOGNORM.INV(RAND(),$D$6,$E$6)</f>
        <v>#REF!</v>
      </c>
      <c r="D296" s="102" t="e">
        <f t="shared" ref="D296:D359" ca="1" si="54">_xlfn.LOGNORM.INV(RAND(),$D$7,$E$7)</f>
        <v>#REF!</v>
      </c>
      <c r="E296" s="102" t="e">
        <f t="shared" ref="E296:E359" ca="1" si="55">_xlfn.LOGNORM.INV(RAND(),$D$8,$E$8)</f>
        <v>#REF!</v>
      </c>
      <c r="F296" s="102" t="e">
        <f t="shared" ref="F296:F359" ca="1" si="56">_xlfn.LOGNORM.INV(RAND(),$D$9,$E$9)</f>
        <v>#REF!</v>
      </c>
      <c r="G296" s="103">
        <f t="shared" ref="G296:G359" ca="1" si="57">_xlfn.NORM.INV(RAND(),$B$12,$C$12)</f>
        <v>0.43563711724548115</v>
      </c>
      <c r="H296" s="103">
        <f t="shared" ref="H296:H359" ca="1" si="58">_xlfn.NORM.INV(RAND(),$B$13,$C$13)</f>
        <v>0.17527627219621164</v>
      </c>
      <c r="I296" s="103" t="e">
        <f t="shared" ref="I296:I359" ca="1" si="59">G296*($E$16/24)+H296*(1-$E$16/24)</f>
        <v>#REF!</v>
      </c>
      <c r="J296" s="103" t="e">
        <f t="shared" ref="J296:J359" ca="1" si="60">G296*($E$17/24)+H296*(1-$E$17/24)</f>
        <v>#REF!</v>
      </c>
      <c r="K296" s="103" t="e">
        <f t="shared" ref="K296:K359" ca="1" si="61">G296*($E$18/24)+H296*(1-$E$18/24)</f>
        <v>#REF!</v>
      </c>
      <c r="L296" s="103" t="e">
        <f t="shared" ref="L296:L359" ca="1" si="62">G296*($E$19/24)+H296*(1-$E$19/24)</f>
        <v>#REF!</v>
      </c>
      <c r="M296" s="103" t="e">
        <f t="shared" ref="M296:M359" ca="1" si="63">G296*($E$20/24)+H296*(1-$E$20/24)</f>
        <v>#REF!</v>
      </c>
      <c r="N296" s="104" t="e">
        <f t="shared" ref="N296:N359" ca="1" si="64">B296*$B$16+C296*$B$17+D296*$B$18+E296*$B$19+F296*$B$20-($C$16*$D$16*I296+$C$17*$D$17*J296+$C$18*$D$18*K296+$C$19*$D$19*L296+$C$20*$D$20*M296)</f>
        <v>#REF!</v>
      </c>
    </row>
    <row r="297" spans="1:14">
      <c r="A297" s="95">
        <v>259</v>
      </c>
      <c r="B297" s="102" t="e">
        <f t="shared" ca="1" si="52"/>
        <v>#REF!</v>
      </c>
      <c r="C297" s="102" t="e">
        <f t="shared" ca="1" si="53"/>
        <v>#REF!</v>
      </c>
      <c r="D297" s="102" t="e">
        <f t="shared" ca="1" si="54"/>
        <v>#REF!</v>
      </c>
      <c r="E297" s="102" t="e">
        <f t="shared" ca="1" si="55"/>
        <v>#REF!</v>
      </c>
      <c r="F297" s="102" t="e">
        <f t="shared" ca="1" si="56"/>
        <v>#REF!</v>
      </c>
      <c r="G297" s="103">
        <f t="shared" ca="1" si="57"/>
        <v>0.39862960917990348</v>
      </c>
      <c r="H297" s="103">
        <f t="shared" ca="1" si="58"/>
        <v>0.19503695633286983</v>
      </c>
      <c r="I297" s="103" t="e">
        <f t="shared" ca="1" si="59"/>
        <v>#REF!</v>
      </c>
      <c r="J297" s="103" t="e">
        <f t="shared" ca="1" si="60"/>
        <v>#REF!</v>
      </c>
      <c r="K297" s="103" t="e">
        <f t="shared" ca="1" si="61"/>
        <v>#REF!</v>
      </c>
      <c r="L297" s="103" t="e">
        <f t="shared" ca="1" si="62"/>
        <v>#REF!</v>
      </c>
      <c r="M297" s="103" t="e">
        <f t="shared" ca="1" si="63"/>
        <v>#REF!</v>
      </c>
      <c r="N297" s="104" t="e">
        <f t="shared" ca="1" si="64"/>
        <v>#REF!</v>
      </c>
    </row>
    <row r="298" spans="1:14">
      <c r="A298" s="96">
        <v>260</v>
      </c>
      <c r="B298" s="102" t="e">
        <f t="shared" ca="1" si="52"/>
        <v>#REF!</v>
      </c>
      <c r="C298" s="102" t="e">
        <f t="shared" ca="1" si="53"/>
        <v>#REF!</v>
      </c>
      <c r="D298" s="102" t="e">
        <f t="shared" ca="1" si="54"/>
        <v>#REF!</v>
      </c>
      <c r="E298" s="102" t="e">
        <f t="shared" ca="1" si="55"/>
        <v>#REF!</v>
      </c>
      <c r="F298" s="102" t="e">
        <f t="shared" ca="1" si="56"/>
        <v>#REF!</v>
      </c>
      <c r="G298" s="103">
        <f t="shared" ca="1" si="57"/>
        <v>0.43777832259117794</v>
      </c>
      <c r="H298" s="103">
        <f t="shared" ca="1" si="58"/>
        <v>0.17846251465448523</v>
      </c>
      <c r="I298" s="103" t="e">
        <f t="shared" ca="1" si="59"/>
        <v>#REF!</v>
      </c>
      <c r="J298" s="103" t="e">
        <f t="shared" ca="1" si="60"/>
        <v>#REF!</v>
      </c>
      <c r="K298" s="103" t="e">
        <f t="shared" ca="1" si="61"/>
        <v>#REF!</v>
      </c>
      <c r="L298" s="103" t="e">
        <f t="shared" ca="1" si="62"/>
        <v>#REF!</v>
      </c>
      <c r="M298" s="103" t="e">
        <f t="shared" ca="1" si="63"/>
        <v>#REF!</v>
      </c>
      <c r="N298" s="104" t="e">
        <f t="shared" ca="1" si="64"/>
        <v>#REF!</v>
      </c>
    </row>
    <row r="299" spans="1:14">
      <c r="A299" s="95">
        <v>261</v>
      </c>
      <c r="B299" s="102" t="e">
        <f t="shared" ca="1" si="52"/>
        <v>#REF!</v>
      </c>
      <c r="C299" s="102" t="e">
        <f t="shared" ca="1" si="53"/>
        <v>#REF!</v>
      </c>
      <c r="D299" s="102" t="e">
        <f t="shared" ca="1" si="54"/>
        <v>#REF!</v>
      </c>
      <c r="E299" s="102" t="e">
        <f t="shared" ca="1" si="55"/>
        <v>#REF!</v>
      </c>
      <c r="F299" s="102" t="e">
        <f t="shared" ca="1" si="56"/>
        <v>#REF!</v>
      </c>
      <c r="G299" s="103">
        <f t="shared" ca="1" si="57"/>
        <v>0.44072262262314915</v>
      </c>
      <c r="H299" s="103">
        <f t="shared" ca="1" si="58"/>
        <v>0.18916605785086618</v>
      </c>
      <c r="I299" s="103" t="e">
        <f t="shared" ca="1" si="59"/>
        <v>#REF!</v>
      </c>
      <c r="J299" s="103" t="e">
        <f t="shared" ca="1" si="60"/>
        <v>#REF!</v>
      </c>
      <c r="K299" s="103" t="e">
        <f t="shared" ca="1" si="61"/>
        <v>#REF!</v>
      </c>
      <c r="L299" s="103" t="e">
        <f t="shared" ca="1" si="62"/>
        <v>#REF!</v>
      </c>
      <c r="M299" s="103" t="e">
        <f t="shared" ca="1" si="63"/>
        <v>#REF!</v>
      </c>
      <c r="N299" s="104" t="e">
        <f t="shared" ca="1" si="64"/>
        <v>#REF!</v>
      </c>
    </row>
    <row r="300" spans="1:14">
      <c r="A300" s="96">
        <v>262</v>
      </c>
      <c r="B300" s="102" t="e">
        <f t="shared" ca="1" si="52"/>
        <v>#REF!</v>
      </c>
      <c r="C300" s="102" t="e">
        <f t="shared" ca="1" si="53"/>
        <v>#REF!</v>
      </c>
      <c r="D300" s="102" t="e">
        <f t="shared" ca="1" si="54"/>
        <v>#REF!</v>
      </c>
      <c r="E300" s="102" t="e">
        <f t="shared" ca="1" si="55"/>
        <v>#REF!</v>
      </c>
      <c r="F300" s="102" t="e">
        <f t="shared" ca="1" si="56"/>
        <v>#REF!</v>
      </c>
      <c r="G300" s="103">
        <f t="shared" ca="1" si="57"/>
        <v>0.42407793821249562</v>
      </c>
      <c r="H300" s="103">
        <f t="shared" ca="1" si="58"/>
        <v>0.21589075697074323</v>
      </c>
      <c r="I300" s="103" t="e">
        <f t="shared" ca="1" si="59"/>
        <v>#REF!</v>
      </c>
      <c r="J300" s="103" t="e">
        <f t="shared" ca="1" si="60"/>
        <v>#REF!</v>
      </c>
      <c r="K300" s="103" t="e">
        <f t="shared" ca="1" si="61"/>
        <v>#REF!</v>
      </c>
      <c r="L300" s="103" t="e">
        <f t="shared" ca="1" si="62"/>
        <v>#REF!</v>
      </c>
      <c r="M300" s="103" t="e">
        <f t="shared" ca="1" si="63"/>
        <v>#REF!</v>
      </c>
      <c r="N300" s="104" t="e">
        <f t="shared" ca="1" si="64"/>
        <v>#REF!</v>
      </c>
    </row>
    <row r="301" spans="1:14">
      <c r="A301" s="95">
        <v>263</v>
      </c>
      <c r="B301" s="102" t="e">
        <f t="shared" ca="1" si="52"/>
        <v>#REF!</v>
      </c>
      <c r="C301" s="102" t="e">
        <f t="shared" ca="1" si="53"/>
        <v>#REF!</v>
      </c>
      <c r="D301" s="102" t="e">
        <f t="shared" ca="1" si="54"/>
        <v>#REF!</v>
      </c>
      <c r="E301" s="102" t="e">
        <f t="shared" ca="1" si="55"/>
        <v>#REF!</v>
      </c>
      <c r="F301" s="102" t="e">
        <f t="shared" ca="1" si="56"/>
        <v>#REF!</v>
      </c>
      <c r="G301" s="103">
        <f t="shared" ca="1" si="57"/>
        <v>0.44744294224986386</v>
      </c>
      <c r="H301" s="103">
        <f t="shared" ca="1" si="58"/>
        <v>0.21955191107149069</v>
      </c>
      <c r="I301" s="103" t="e">
        <f t="shared" ca="1" si="59"/>
        <v>#REF!</v>
      </c>
      <c r="J301" s="103" t="e">
        <f t="shared" ca="1" si="60"/>
        <v>#REF!</v>
      </c>
      <c r="K301" s="103" t="e">
        <f t="shared" ca="1" si="61"/>
        <v>#REF!</v>
      </c>
      <c r="L301" s="103" t="e">
        <f t="shared" ca="1" si="62"/>
        <v>#REF!</v>
      </c>
      <c r="M301" s="103" t="e">
        <f t="shared" ca="1" si="63"/>
        <v>#REF!</v>
      </c>
      <c r="N301" s="104" t="e">
        <f t="shared" ca="1" si="64"/>
        <v>#REF!</v>
      </c>
    </row>
    <row r="302" spans="1:14">
      <c r="A302" s="96">
        <v>264</v>
      </c>
      <c r="B302" s="102" t="e">
        <f t="shared" ca="1" si="52"/>
        <v>#REF!</v>
      </c>
      <c r="C302" s="102" t="e">
        <f t="shared" ca="1" si="53"/>
        <v>#REF!</v>
      </c>
      <c r="D302" s="102" t="e">
        <f t="shared" ca="1" si="54"/>
        <v>#REF!</v>
      </c>
      <c r="E302" s="102" t="e">
        <f t="shared" ca="1" si="55"/>
        <v>#REF!</v>
      </c>
      <c r="F302" s="102" t="e">
        <f t="shared" ca="1" si="56"/>
        <v>#REF!</v>
      </c>
      <c r="G302" s="103">
        <f t="shared" ca="1" si="57"/>
        <v>0.44824672854970576</v>
      </c>
      <c r="H302" s="103">
        <f t="shared" ca="1" si="58"/>
        <v>0.20928674249949156</v>
      </c>
      <c r="I302" s="103" t="e">
        <f t="shared" ca="1" si="59"/>
        <v>#REF!</v>
      </c>
      <c r="J302" s="103" t="e">
        <f t="shared" ca="1" si="60"/>
        <v>#REF!</v>
      </c>
      <c r="K302" s="103" t="e">
        <f t="shared" ca="1" si="61"/>
        <v>#REF!</v>
      </c>
      <c r="L302" s="103" t="e">
        <f t="shared" ca="1" si="62"/>
        <v>#REF!</v>
      </c>
      <c r="M302" s="103" t="e">
        <f t="shared" ca="1" si="63"/>
        <v>#REF!</v>
      </c>
      <c r="N302" s="104" t="e">
        <f t="shared" ca="1" si="64"/>
        <v>#REF!</v>
      </c>
    </row>
    <row r="303" spans="1:14">
      <c r="A303" s="95">
        <v>265</v>
      </c>
      <c r="B303" s="102" t="e">
        <f t="shared" ca="1" si="52"/>
        <v>#REF!</v>
      </c>
      <c r="C303" s="102" t="e">
        <f t="shared" ca="1" si="53"/>
        <v>#REF!</v>
      </c>
      <c r="D303" s="102" t="e">
        <f t="shared" ca="1" si="54"/>
        <v>#REF!</v>
      </c>
      <c r="E303" s="102" t="e">
        <f t="shared" ca="1" si="55"/>
        <v>#REF!</v>
      </c>
      <c r="F303" s="102" t="e">
        <f t="shared" ca="1" si="56"/>
        <v>#REF!</v>
      </c>
      <c r="G303" s="103">
        <f t="shared" ca="1" si="57"/>
        <v>0.45625460720066124</v>
      </c>
      <c r="H303" s="103">
        <f t="shared" ca="1" si="58"/>
        <v>0.20220980674228153</v>
      </c>
      <c r="I303" s="103" t="e">
        <f t="shared" ca="1" si="59"/>
        <v>#REF!</v>
      </c>
      <c r="J303" s="103" t="e">
        <f t="shared" ca="1" si="60"/>
        <v>#REF!</v>
      </c>
      <c r="K303" s="103" t="e">
        <f t="shared" ca="1" si="61"/>
        <v>#REF!</v>
      </c>
      <c r="L303" s="103" t="e">
        <f t="shared" ca="1" si="62"/>
        <v>#REF!</v>
      </c>
      <c r="M303" s="103" t="e">
        <f t="shared" ca="1" si="63"/>
        <v>#REF!</v>
      </c>
      <c r="N303" s="104" t="e">
        <f t="shared" ca="1" si="64"/>
        <v>#REF!</v>
      </c>
    </row>
    <row r="304" spans="1:14">
      <c r="A304" s="96">
        <v>266</v>
      </c>
      <c r="B304" s="102" t="e">
        <f t="shared" ca="1" si="52"/>
        <v>#REF!</v>
      </c>
      <c r="C304" s="102" t="e">
        <f t="shared" ca="1" si="53"/>
        <v>#REF!</v>
      </c>
      <c r="D304" s="102" t="e">
        <f t="shared" ca="1" si="54"/>
        <v>#REF!</v>
      </c>
      <c r="E304" s="102" t="e">
        <f t="shared" ca="1" si="55"/>
        <v>#REF!</v>
      </c>
      <c r="F304" s="102" t="e">
        <f t="shared" ca="1" si="56"/>
        <v>#REF!</v>
      </c>
      <c r="G304" s="103">
        <f t="shared" ca="1" si="57"/>
        <v>0.48013787020205129</v>
      </c>
      <c r="H304" s="103">
        <f t="shared" ca="1" si="58"/>
        <v>0.2302130753947611</v>
      </c>
      <c r="I304" s="103" t="e">
        <f t="shared" ca="1" si="59"/>
        <v>#REF!</v>
      </c>
      <c r="J304" s="103" t="e">
        <f t="shared" ca="1" si="60"/>
        <v>#REF!</v>
      </c>
      <c r="K304" s="103" t="e">
        <f t="shared" ca="1" si="61"/>
        <v>#REF!</v>
      </c>
      <c r="L304" s="103" t="e">
        <f t="shared" ca="1" si="62"/>
        <v>#REF!</v>
      </c>
      <c r="M304" s="103" t="e">
        <f t="shared" ca="1" si="63"/>
        <v>#REF!</v>
      </c>
      <c r="N304" s="104" t="e">
        <f t="shared" ca="1" si="64"/>
        <v>#REF!</v>
      </c>
    </row>
    <row r="305" spans="1:14">
      <c r="A305" s="95">
        <v>267</v>
      </c>
      <c r="B305" s="102" t="e">
        <f t="shared" ca="1" si="52"/>
        <v>#REF!</v>
      </c>
      <c r="C305" s="102" t="e">
        <f t="shared" ca="1" si="53"/>
        <v>#REF!</v>
      </c>
      <c r="D305" s="102" t="e">
        <f t="shared" ca="1" si="54"/>
        <v>#REF!</v>
      </c>
      <c r="E305" s="102" t="e">
        <f t="shared" ca="1" si="55"/>
        <v>#REF!</v>
      </c>
      <c r="F305" s="102" t="e">
        <f t="shared" ca="1" si="56"/>
        <v>#REF!</v>
      </c>
      <c r="G305" s="103">
        <f t="shared" ca="1" si="57"/>
        <v>0.41820236845684994</v>
      </c>
      <c r="H305" s="103">
        <f t="shared" ca="1" si="58"/>
        <v>0.21692468592395886</v>
      </c>
      <c r="I305" s="103" t="e">
        <f t="shared" ca="1" si="59"/>
        <v>#REF!</v>
      </c>
      <c r="J305" s="103" t="e">
        <f t="shared" ca="1" si="60"/>
        <v>#REF!</v>
      </c>
      <c r="K305" s="103" t="e">
        <f t="shared" ca="1" si="61"/>
        <v>#REF!</v>
      </c>
      <c r="L305" s="103" t="e">
        <f t="shared" ca="1" si="62"/>
        <v>#REF!</v>
      </c>
      <c r="M305" s="103" t="e">
        <f t="shared" ca="1" si="63"/>
        <v>#REF!</v>
      </c>
      <c r="N305" s="104" t="e">
        <f t="shared" ca="1" si="64"/>
        <v>#REF!</v>
      </c>
    </row>
    <row r="306" spans="1:14">
      <c r="A306" s="96">
        <v>268</v>
      </c>
      <c r="B306" s="102" t="e">
        <f t="shared" ca="1" si="52"/>
        <v>#REF!</v>
      </c>
      <c r="C306" s="102" t="e">
        <f t="shared" ca="1" si="53"/>
        <v>#REF!</v>
      </c>
      <c r="D306" s="102" t="e">
        <f t="shared" ca="1" si="54"/>
        <v>#REF!</v>
      </c>
      <c r="E306" s="102" t="e">
        <f t="shared" ca="1" si="55"/>
        <v>#REF!</v>
      </c>
      <c r="F306" s="102" t="e">
        <f t="shared" ca="1" si="56"/>
        <v>#REF!</v>
      </c>
      <c r="G306" s="103">
        <f t="shared" ca="1" si="57"/>
        <v>0.42766777660011746</v>
      </c>
      <c r="H306" s="103">
        <f t="shared" ca="1" si="58"/>
        <v>0.21866123026920245</v>
      </c>
      <c r="I306" s="103" t="e">
        <f t="shared" ca="1" si="59"/>
        <v>#REF!</v>
      </c>
      <c r="J306" s="103" t="e">
        <f t="shared" ca="1" si="60"/>
        <v>#REF!</v>
      </c>
      <c r="K306" s="103" t="e">
        <f t="shared" ca="1" si="61"/>
        <v>#REF!</v>
      </c>
      <c r="L306" s="103" t="e">
        <f t="shared" ca="1" si="62"/>
        <v>#REF!</v>
      </c>
      <c r="M306" s="103" t="e">
        <f t="shared" ca="1" si="63"/>
        <v>#REF!</v>
      </c>
      <c r="N306" s="104" t="e">
        <f t="shared" ca="1" si="64"/>
        <v>#REF!</v>
      </c>
    </row>
    <row r="307" spans="1:14">
      <c r="A307" s="95">
        <v>269</v>
      </c>
      <c r="B307" s="102" t="e">
        <f t="shared" ca="1" si="52"/>
        <v>#REF!</v>
      </c>
      <c r="C307" s="102" t="e">
        <f t="shared" ca="1" si="53"/>
        <v>#REF!</v>
      </c>
      <c r="D307" s="102" t="e">
        <f t="shared" ca="1" si="54"/>
        <v>#REF!</v>
      </c>
      <c r="E307" s="102" t="e">
        <f t="shared" ca="1" si="55"/>
        <v>#REF!</v>
      </c>
      <c r="F307" s="102" t="e">
        <f t="shared" ca="1" si="56"/>
        <v>#REF!</v>
      </c>
      <c r="G307" s="103">
        <f t="shared" ca="1" si="57"/>
        <v>0.45131948318878462</v>
      </c>
      <c r="H307" s="103">
        <f t="shared" ca="1" si="58"/>
        <v>0.19052811624436075</v>
      </c>
      <c r="I307" s="103" t="e">
        <f t="shared" ca="1" si="59"/>
        <v>#REF!</v>
      </c>
      <c r="J307" s="103" t="e">
        <f t="shared" ca="1" si="60"/>
        <v>#REF!</v>
      </c>
      <c r="K307" s="103" t="e">
        <f t="shared" ca="1" si="61"/>
        <v>#REF!</v>
      </c>
      <c r="L307" s="103" t="e">
        <f t="shared" ca="1" si="62"/>
        <v>#REF!</v>
      </c>
      <c r="M307" s="103" t="e">
        <f t="shared" ca="1" si="63"/>
        <v>#REF!</v>
      </c>
      <c r="N307" s="104" t="e">
        <f t="shared" ca="1" si="64"/>
        <v>#REF!</v>
      </c>
    </row>
    <row r="308" spans="1:14">
      <c r="A308" s="96">
        <v>270</v>
      </c>
      <c r="B308" s="102" t="e">
        <f t="shared" ca="1" si="52"/>
        <v>#REF!</v>
      </c>
      <c r="C308" s="102" t="e">
        <f t="shared" ca="1" si="53"/>
        <v>#REF!</v>
      </c>
      <c r="D308" s="102" t="e">
        <f t="shared" ca="1" si="54"/>
        <v>#REF!</v>
      </c>
      <c r="E308" s="102" t="e">
        <f t="shared" ca="1" si="55"/>
        <v>#REF!</v>
      </c>
      <c r="F308" s="102" t="e">
        <f t="shared" ca="1" si="56"/>
        <v>#REF!</v>
      </c>
      <c r="G308" s="103">
        <f t="shared" ca="1" si="57"/>
        <v>0.38936773849872808</v>
      </c>
      <c r="H308" s="103">
        <f t="shared" ca="1" si="58"/>
        <v>0.22153029391304202</v>
      </c>
      <c r="I308" s="103" t="e">
        <f t="shared" ca="1" si="59"/>
        <v>#REF!</v>
      </c>
      <c r="J308" s="103" t="e">
        <f t="shared" ca="1" si="60"/>
        <v>#REF!</v>
      </c>
      <c r="K308" s="103" t="e">
        <f t="shared" ca="1" si="61"/>
        <v>#REF!</v>
      </c>
      <c r="L308" s="103" t="e">
        <f t="shared" ca="1" si="62"/>
        <v>#REF!</v>
      </c>
      <c r="M308" s="103" t="e">
        <f t="shared" ca="1" si="63"/>
        <v>#REF!</v>
      </c>
      <c r="N308" s="104" t="e">
        <f t="shared" ca="1" si="64"/>
        <v>#REF!</v>
      </c>
    </row>
    <row r="309" spans="1:14">
      <c r="A309" s="95">
        <v>271</v>
      </c>
      <c r="B309" s="102" t="e">
        <f t="shared" ca="1" si="52"/>
        <v>#REF!</v>
      </c>
      <c r="C309" s="102" t="e">
        <f t="shared" ca="1" si="53"/>
        <v>#REF!</v>
      </c>
      <c r="D309" s="102" t="e">
        <f t="shared" ca="1" si="54"/>
        <v>#REF!</v>
      </c>
      <c r="E309" s="102" t="e">
        <f t="shared" ca="1" si="55"/>
        <v>#REF!</v>
      </c>
      <c r="F309" s="102" t="e">
        <f t="shared" ca="1" si="56"/>
        <v>#REF!</v>
      </c>
      <c r="G309" s="103">
        <f t="shared" ca="1" si="57"/>
        <v>0.47774425464984843</v>
      </c>
      <c r="H309" s="103">
        <f t="shared" ca="1" si="58"/>
        <v>0.2212351387058111</v>
      </c>
      <c r="I309" s="103" t="e">
        <f t="shared" ca="1" si="59"/>
        <v>#REF!</v>
      </c>
      <c r="J309" s="103" t="e">
        <f t="shared" ca="1" si="60"/>
        <v>#REF!</v>
      </c>
      <c r="K309" s="103" t="e">
        <f t="shared" ca="1" si="61"/>
        <v>#REF!</v>
      </c>
      <c r="L309" s="103" t="e">
        <f t="shared" ca="1" si="62"/>
        <v>#REF!</v>
      </c>
      <c r="M309" s="103" t="e">
        <f t="shared" ca="1" si="63"/>
        <v>#REF!</v>
      </c>
      <c r="N309" s="104" t="e">
        <f t="shared" ca="1" si="64"/>
        <v>#REF!</v>
      </c>
    </row>
    <row r="310" spans="1:14">
      <c r="A310" s="96">
        <v>272</v>
      </c>
      <c r="B310" s="102" t="e">
        <f t="shared" ca="1" si="52"/>
        <v>#REF!</v>
      </c>
      <c r="C310" s="102" t="e">
        <f t="shared" ca="1" si="53"/>
        <v>#REF!</v>
      </c>
      <c r="D310" s="102" t="e">
        <f t="shared" ca="1" si="54"/>
        <v>#REF!</v>
      </c>
      <c r="E310" s="102" t="e">
        <f t="shared" ca="1" si="55"/>
        <v>#REF!</v>
      </c>
      <c r="F310" s="102" t="e">
        <f t="shared" ca="1" si="56"/>
        <v>#REF!</v>
      </c>
      <c r="G310" s="103">
        <f t="shared" ca="1" si="57"/>
        <v>0.47281241845760902</v>
      </c>
      <c r="H310" s="103">
        <f t="shared" ca="1" si="58"/>
        <v>0.22149966334208265</v>
      </c>
      <c r="I310" s="103" t="e">
        <f t="shared" ca="1" si="59"/>
        <v>#REF!</v>
      </c>
      <c r="J310" s="103" t="e">
        <f t="shared" ca="1" si="60"/>
        <v>#REF!</v>
      </c>
      <c r="K310" s="103" t="e">
        <f t="shared" ca="1" si="61"/>
        <v>#REF!</v>
      </c>
      <c r="L310" s="103" t="e">
        <f t="shared" ca="1" si="62"/>
        <v>#REF!</v>
      </c>
      <c r="M310" s="103" t="e">
        <f t="shared" ca="1" si="63"/>
        <v>#REF!</v>
      </c>
      <c r="N310" s="104" t="e">
        <f t="shared" ca="1" si="64"/>
        <v>#REF!</v>
      </c>
    </row>
    <row r="311" spans="1:14">
      <c r="A311" s="95">
        <v>273</v>
      </c>
      <c r="B311" s="102" t="e">
        <f t="shared" ca="1" si="52"/>
        <v>#REF!</v>
      </c>
      <c r="C311" s="102" t="e">
        <f t="shared" ca="1" si="53"/>
        <v>#REF!</v>
      </c>
      <c r="D311" s="102" t="e">
        <f t="shared" ca="1" si="54"/>
        <v>#REF!</v>
      </c>
      <c r="E311" s="102" t="e">
        <f t="shared" ca="1" si="55"/>
        <v>#REF!</v>
      </c>
      <c r="F311" s="102" t="e">
        <f t="shared" ca="1" si="56"/>
        <v>#REF!</v>
      </c>
      <c r="G311" s="103">
        <f t="shared" ca="1" si="57"/>
        <v>0.37766941520057828</v>
      </c>
      <c r="H311" s="103">
        <f t="shared" ca="1" si="58"/>
        <v>0.2064591424245471</v>
      </c>
      <c r="I311" s="103" t="e">
        <f t="shared" ca="1" si="59"/>
        <v>#REF!</v>
      </c>
      <c r="J311" s="103" t="e">
        <f t="shared" ca="1" si="60"/>
        <v>#REF!</v>
      </c>
      <c r="K311" s="103" t="e">
        <f t="shared" ca="1" si="61"/>
        <v>#REF!</v>
      </c>
      <c r="L311" s="103" t="e">
        <f t="shared" ca="1" si="62"/>
        <v>#REF!</v>
      </c>
      <c r="M311" s="103" t="e">
        <f t="shared" ca="1" si="63"/>
        <v>#REF!</v>
      </c>
      <c r="N311" s="104" t="e">
        <f t="shared" ca="1" si="64"/>
        <v>#REF!</v>
      </c>
    </row>
    <row r="312" spans="1:14">
      <c r="A312" s="96">
        <v>274</v>
      </c>
      <c r="B312" s="102" t="e">
        <f t="shared" ca="1" si="52"/>
        <v>#REF!</v>
      </c>
      <c r="C312" s="102" t="e">
        <f t="shared" ca="1" si="53"/>
        <v>#REF!</v>
      </c>
      <c r="D312" s="102" t="e">
        <f t="shared" ca="1" si="54"/>
        <v>#REF!</v>
      </c>
      <c r="E312" s="102" t="e">
        <f t="shared" ca="1" si="55"/>
        <v>#REF!</v>
      </c>
      <c r="F312" s="102" t="e">
        <f t="shared" ca="1" si="56"/>
        <v>#REF!</v>
      </c>
      <c r="G312" s="103">
        <f t="shared" ca="1" si="57"/>
        <v>0.46111399940099818</v>
      </c>
      <c r="H312" s="103">
        <f t="shared" ca="1" si="58"/>
        <v>0.22127214779735907</v>
      </c>
      <c r="I312" s="103" t="e">
        <f t="shared" ca="1" si="59"/>
        <v>#REF!</v>
      </c>
      <c r="J312" s="103" t="e">
        <f t="shared" ca="1" si="60"/>
        <v>#REF!</v>
      </c>
      <c r="K312" s="103" t="e">
        <f t="shared" ca="1" si="61"/>
        <v>#REF!</v>
      </c>
      <c r="L312" s="103" t="e">
        <f t="shared" ca="1" si="62"/>
        <v>#REF!</v>
      </c>
      <c r="M312" s="103" t="e">
        <f t="shared" ca="1" si="63"/>
        <v>#REF!</v>
      </c>
      <c r="N312" s="104" t="e">
        <f t="shared" ca="1" si="64"/>
        <v>#REF!</v>
      </c>
    </row>
    <row r="313" spans="1:14">
      <c r="A313" s="95">
        <v>275</v>
      </c>
      <c r="B313" s="102" t="e">
        <f t="shared" ca="1" si="52"/>
        <v>#REF!</v>
      </c>
      <c r="C313" s="102" t="e">
        <f t="shared" ca="1" si="53"/>
        <v>#REF!</v>
      </c>
      <c r="D313" s="102" t="e">
        <f t="shared" ca="1" si="54"/>
        <v>#REF!</v>
      </c>
      <c r="E313" s="102" t="e">
        <f t="shared" ca="1" si="55"/>
        <v>#REF!</v>
      </c>
      <c r="F313" s="102" t="e">
        <f t="shared" ca="1" si="56"/>
        <v>#REF!</v>
      </c>
      <c r="G313" s="103">
        <f t="shared" ca="1" si="57"/>
        <v>0.43179753486572892</v>
      </c>
      <c r="H313" s="103">
        <f t="shared" ca="1" si="58"/>
        <v>0.19488673959461711</v>
      </c>
      <c r="I313" s="103" t="e">
        <f t="shared" ca="1" si="59"/>
        <v>#REF!</v>
      </c>
      <c r="J313" s="103" t="e">
        <f t="shared" ca="1" si="60"/>
        <v>#REF!</v>
      </c>
      <c r="K313" s="103" t="e">
        <f t="shared" ca="1" si="61"/>
        <v>#REF!</v>
      </c>
      <c r="L313" s="103" t="e">
        <f t="shared" ca="1" si="62"/>
        <v>#REF!</v>
      </c>
      <c r="M313" s="103" t="e">
        <f t="shared" ca="1" si="63"/>
        <v>#REF!</v>
      </c>
      <c r="N313" s="104" t="e">
        <f t="shared" ca="1" si="64"/>
        <v>#REF!</v>
      </c>
    </row>
    <row r="314" spans="1:14">
      <c r="A314" s="96">
        <v>276</v>
      </c>
      <c r="B314" s="102" t="e">
        <f t="shared" ca="1" si="52"/>
        <v>#REF!</v>
      </c>
      <c r="C314" s="102" t="e">
        <f t="shared" ca="1" si="53"/>
        <v>#REF!</v>
      </c>
      <c r="D314" s="102" t="e">
        <f t="shared" ca="1" si="54"/>
        <v>#REF!</v>
      </c>
      <c r="E314" s="102" t="e">
        <f t="shared" ca="1" si="55"/>
        <v>#REF!</v>
      </c>
      <c r="F314" s="102" t="e">
        <f t="shared" ca="1" si="56"/>
        <v>#REF!</v>
      </c>
      <c r="G314" s="103">
        <f t="shared" ca="1" si="57"/>
        <v>0.46442294313108767</v>
      </c>
      <c r="H314" s="103">
        <f t="shared" ca="1" si="58"/>
        <v>0.21665326617905128</v>
      </c>
      <c r="I314" s="103" t="e">
        <f t="shared" ca="1" si="59"/>
        <v>#REF!</v>
      </c>
      <c r="J314" s="103" t="e">
        <f t="shared" ca="1" si="60"/>
        <v>#REF!</v>
      </c>
      <c r="K314" s="103" t="e">
        <f t="shared" ca="1" si="61"/>
        <v>#REF!</v>
      </c>
      <c r="L314" s="103" t="e">
        <f t="shared" ca="1" si="62"/>
        <v>#REF!</v>
      </c>
      <c r="M314" s="103" t="e">
        <f t="shared" ca="1" si="63"/>
        <v>#REF!</v>
      </c>
      <c r="N314" s="104" t="e">
        <f t="shared" ca="1" si="64"/>
        <v>#REF!</v>
      </c>
    </row>
    <row r="315" spans="1:14">
      <c r="A315" s="95">
        <v>277</v>
      </c>
      <c r="B315" s="102" t="e">
        <f t="shared" ca="1" si="52"/>
        <v>#REF!</v>
      </c>
      <c r="C315" s="102" t="e">
        <f t="shared" ca="1" si="53"/>
        <v>#REF!</v>
      </c>
      <c r="D315" s="102" t="e">
        <f t="shared" ca="1" si="54"/>
        <v>#REF!</v>
      </c>
      <c r="E315" s="102" t="e">
        <f t="shared" ca="1" si="55"/>
        <v>#REF!</v>
      </c>
      <c r="F315" s="102" t="e">
        <f t="shared" ca="1" si="56"/>
        <v>#REF!</v>
      </c>
      <c r="G315" s="103">
        <f t="shared" ca="1" si="57"/>
        <v>0.39760278892930812</v>
      </c>
      <c r="H315" s="103">
        <f t="shared" ca="1" si="58"/>
        <v>0.18895673729426091</v>
      </c>
      <c r="I315" s="103" t="e">
        <f t="shared" ca="1" si="59"/>
        <v>#REF!</v>
      </c>
      <c r="J315" s="103" t="e">
        <f t="shared" ca="1" si="60"/>
        <v>#REF!</v>
      </c>
      <c r="K315" s="103" t="e">
        <f t="shared" ca="1" si="61"/>
        <v>#REF!</v>
      </c>
      <c r="L315" s="103" t="e">
        <f t="shared" ca="1" si="62"/>
        <v>#REF!</v>
      </c>
      <c r="M315" s="103" t="e">
        <f t="shared" ca="1" si="63"/>
        <v>#REF!</v>
      </c>
      <c r="N315" s="104" t="e">
        <f t="shared" ca="1" si="64"/>
        <v>#REF!</v>
      </c>
    </row>
    <row r="316" spans="1:14">
      <c r="A316" s="96">
        <v>278</v>
      </c>
      <c r="B316" s="102" t="e">
        <f t="shared" ca="1" si="52"/>
        <v>#REF!</v>
      </c>
      <c r="C316" s="102" t="e">
        <f t="shared" ca="1" si="53"/>
        <v>#REF!</v>
      </c>
      <c r="D316" s="102" t="e">
        <f t="shared" ca="1" si="54"/>
        <v>#REF!</v>
      </c>
      <c r="E316" s="102" t="e">
        <f t="shared" ca="1" si="55"/>
        <v>#REF!</v>
      </c>
      <c r="F316" s="102" t="e">
        <f t="shared" ca="1" si="56"/>
        <v>#REF!</v>
      </c>
      <c r="G316" s="103">
        <f t="shared" ca="1" si="57"/>
        <v>0.45779435312318284</v>
      </c>
      <c r="H316" s="103">
        <f t="shared" ca="1" si="58"/>
        <v>0.23491910816057499</v>
      </c>
      <c r="I316" s="103" t="e">
        <f t="shared" ca="1" si="59"/>
        <v>#REF!</v>
      </c>
      <c r="J316" s="103" t="e">
        <f t="shared" ca="1" si="60"/>
        <v>#REF!</v>
      </c>
      <c r="K316" s="103" t="e">
        <f t="shared" ca="1" si="61"/>
        <v>#REF!</v>
      </c>
      <c r="L316" s="103" t="e">
        <f t="shared" ca="1" si="62"/>
        <v>#REF!</v>
      </c>
      <c r="M316" s="103" t="e">
        <f t="shared" ca="1" si="63"/>
        <v>#REF!</v>
      </c>
      <c r="N316" s="104" t="e">
        <f t="shared" ca="1" si="64"/>
        <v>#REF!</v>
      </c>
    </row>
    <row r="317" spans="1:14">
      <c r="A317" s="95">
        <v>279</v>
      </c>
      <c r="B317" s="102" t="e">
        <f t="shared" ca="1" si="52"/>
        <v>#REF!</v>
      </c>
      <c r="C317" s="102" t="e">
        <f t="shared" ca="1" si="53"/>
        <v>#REF!</v>
      </c>
      <c r="D317" s="102" t="e">
        <f t="shared" ca="1" si="54"/>
        <v>#REF!</v>
      </c>
      <c r="E317" s="102" t="e">
        <f t="shared" ca="1" si="55"/>
        <v>#REF!</v>
      </c>
      <c r="F317" s="102" t="e">
        <f t="shared" ca="1" si="56"/>
        <v>#REF!</v>
      </c>
      <c r="G317" s="103">
        <f t="shared" ca="1" si="57"/>
        <v>0.42544683880012474</v>
      </c>
      <c r="H317" s="103">
        <f t="shared" ca="1" si="58"/>
        <v>0.17031445557665614</v>
      </c>
      <c r="I317" s="103" t="e">
        <f t="shared" ca="1" si="59"/>
        <v>#REF!</v>
      </c>
      <c r="J317" s="103" t="e">
        <f t="shared" ca="1" si="60"/>
        <v>#REF!</v>
      </c>
      <c r="K317" s="103" t="e">
        <f t="shared" ca="1" si="61"/>
        <v>#REF!</v>
      </c>
      <c r="L317" s="103" t="e">
        <f t="shared" ca="1" si="62"/>
        <v>#REF!</v>
      </c>
      <c r="M317" s="103" t="e">
        <f t="shared" ca="1" si="63"/>
        <v>#REF!</v>
      </c>
      <c r="N317" s="104" t="e">
        <f t="shared" ca="1" si="64"/>
        <v>#REF!</v>
      </c>
    </row>
    <row r="318" spans="1:14">
      <c r="A318" s="96">
        <v>280</v>
      </c>
      <c r="B318" s="102" t="e">
        <f t="shared" ca="1" si="52"/>
        <v>#REF!</v>
      </c>
      <c r="C318" s="102" t="e">
        <f t="shared" ca="1" si="53"/>
        <v>#REF!</v>
      </c>
      <c r="D318" s="102" t="e">
        <f t="shared" ca="1" si="54"/>
        <v>#REF!</v>
      </c>
      <c r="E318" s="102" t="e">
        <f t="shared" ca="1" si="55"/>
        <v>#REF!</v>
      </c>
      <c r="F318" s="102" t="e">
        <f t="shared" ca="1" si="56"/>
        <v>#REF!</v>
      </c>
      <c r="G318" s="103">
        <f t="shared" ca="1" si="57"/>
        <v>0.42680731554216428</v>
      </c>
      <c r="H318" s="103">
        <f t="shared" ca="1" si="58"/>
        <v>0.22832879777182455</v>
      </c>
      <c r="I318" s="103" t="e">
        <f t="shared" ca="1" si="59"/>
        <v>#REF!</v>
      </c>
      <c r="J318" s="103" t="e">
        <f t="shared" ca="1" si="60"/>
        <v>#REF!</v>
      </c>
      <c r="K318" s="103" t="e">
        <f t="shared" ca="1" si="61"/>
        <v>#REF!</v>
      </c>
      <c r="L318" s="103" t="e">
        <f t="shared" ca="1" si="62"/>
        <v>#REF!</v>
      </c>
      <c r="M318" s="103" t="e">
        <f t="shared" ca="1" si="63"/>
        <v>#REF!</v>
      </c>
      <c r="N318" s="104" t="e">
        <f t="shared" ca="1" si="64"/>
        <v>#REF!</v>
      </c>
    </row>
    <row r="319" spans="1:14">
      <c r="A319" s="95">
        <v>281</v>
      </c>
      <c r="B319" s="102" t="e">
        <f t="shared" ca="1" si="52"/>
        <v>#REF!</v>
      </c>
      <c r="C319" s="102" t="e">
        <f t="shared" ca="1" si="53"/>
        <v>#REF!</v>
      </c>
      <c r="D319" s="102" t="e">
        <f t="shared" ca="1" si="54"/>
        <v>#REF!</v>
      </c>
      <c r="E319" s="102" t="e">
        <f t="shared" ca="1" si="55"/>
        <v>#REF!</v>
      </c>
      <c r="F319" s="102" t="e">
        <f t="shared" ca="1" si="56"/>
        <v>#REF!</v>
      </c>
      <c r="G319" s="103">
        <f t="shared" ca="1" si="57"/>
        <v>0.45722088939102495</v>
      </c>
      <c r="H319" s="103">
        <f t="shared" ca="1" si="58"/>
        <v>0.20145649649121433</v>
      </c>
      <c r="I319" s="103" t="e">
        <f t="shared" ca="1" si="59"/>
        <v>#REF!</v>
      </c>
      <c r="J319" s="103" t="e">
        <f t="shared" ca="1" si="60"/>
        <v>#REF!</v>
      </c>
      <c r="K319" s="103" t="e">
        <f t="shared" ca="1" si="61"/>
        <v>#REF!</v>
      </c>
      <c r="L319" s="103" t="e">
        <f t="shared" ca="1" si="62"/>
        <v>#REF!</v>
      </c>
      <c r="M319" s="103" t="e">
        <f t="shared" ca="1" si="63"/>
        <v>#REF!</v>
      </c>
      <c r="N319" s="104" t="e">
        <f t="shared" ca="1" si="64"/>
        <v>#REF!</v>
      </c>
    </row>
    <row r="320" spans="1:14">
      <c r="A320" s="96">
        <v>282</v>
      </c>
      <c r="B320" s="102" t="e">
        <f t="shared" ca="1" si="52"/>
        <v>#REF!</v>
      </c>
      <c r="C320" s="102" t="e">
        <f t="shared" ca="1" si="53"/>
        <v>#REF!</v>
      </c>
      <c r="D320" s="102" t="e">
        <f t="shared" ca="1" si="54"/>
        <v>#REF!</v>
      </c>
      <c r="E320" s="102" t="e">
        <f t="shared" ca="1" si="55"/>
        <v>#REF!</v>
      </c>
      <c r="F320" s="102" t="e">
        <f t="shared" ca="1" si="56"/>
        <v>#REF!</v>
      </c>
      <c r="G320" s="103">
        <f t="shared" ca="1" si="57"/>
        <v>0.437606935430841</v>
      </c>
      <c r="H320" s="103">
        <f t="shared" ca="1" si="58"/>
        <v>0.18641356584763608</v>
      </c>
      <c r="I320" s="103" t="e">
        <f t="shared" ca="1" si="59"/>
        <v>#REF!</v>
      </c>
      <c r="J320" s="103" t="e">
        <f t="shared" ca="1" si="60"/>
        <v>#REF!</v>
      </c>
      <c r="K320" s="103" t="e">
        <f t="shared" ca="1" si="61"/>
        <v>#REF!</v>
      </c>
      <c r="L320" s="103" t="e">
        <f t="shared" ca="1" si="62"/>
        <v>#REF!</v>
      </c>
      <c r="M320" s="103" t="e">
        <f t="shared" ca="1" si="63"/>
        <v>#REF!</v>
      </c>
      <c r="N320" s="104" t="e">
        <f t="shared" ca="1" si="64"/>
        <v>#REF!</v>
      </c>
    </row>
    <row r="321" spans="1:14">
      <c r="A321" s="95">
        <v>283</v>
      </c>
      <c r="B321" s="102" t="e">
        <f t="shared" ca="1" si="52"/>
        <v>#REF!</v>
      </c>
      <c r="C321" s="102" t="e">
        <f t="shared" ca="1" si="53"/>
        <v>#REF!</v>
      </c>
      <c r="D321" s="102" t="e">
        <f t="shared" ca="1" si="54"/>
        <v>#REF!</v>
      </c>
      <c r="E321" s="102" t="e">
        <f t="shared" ca="1" si="55"/>
        <v>#REF!</v>
      </c>
      <c r="F321" s="102" t="e">
        <f t="shared" ca="1" si="56"/>
        <v>#REF!</v>
      </c>
      <c r="G321" s="103">
        <f t="shared" ca="1" si="57"/>
        <v>0.43648206944032159</v>
      </c>
      <c r="H321" s="103">
        <f t="shared" ca="1" si="58"/>
        <v>0.17910494530122983</v>
      </c>
      <c r="I321" s="103" t="e">
        <f t="shared" ca="1" si="59"/>
        <v>#REF!</v>
      </c>
      <c r="J321" s="103" t="e">
        <f t="shared" ca="1" si="60"/>
        <v>#REF!</v>
      </c>
      <c r="K321" s="103" t="e">
        <f t="shared" ca="1" si="61"/>
        <v>#REF!</v>
      </c>
      <c r="L321" s="103" t="e">
        <f t="shared" ca="1" si="62"/>
        <v>#REF!</v>
      </c>
      <c r="M321" s="103" t="e">
        <f t="shared" ca="1" si="63"/>
        <v>#REF!</v>
      </c>
      <c r="N321" s="104" t="e">
        <f t="shared" ca="1" si="64"/>
        <v>#REF!</v>
      </c>
    </row>
    <row r="322" spans="1:14">
      <c r="A322" s="96">
        <v>284</v>
      </c>
      <c r="B322" s="102" t="e">
        <f t="shared" ca="1" si="52"/>
        <v>#REF!</v>
      </c>
      <c r="C322" s="102" t="e">
        <f t="shared" ca="1" si="53"/>
        <v>#REF!</v>
      </c>
      <c r="D322" s="102" t="e">
        <f t="shared" ca="1" si="54"/>
        <v>#REF!</v>
      </c>
      <c r="E322" s="102" t="e">
        <f t="shared" ca="1" si="55"/>
        <v>#REF!</v>
      </c>
      <c r="F322" s="102" t="e">
        <f t="shared" ca="1" si="56"/>
        <v>#REF!</v>
      </c>
      <c r="G322" s="103">
        <f t="shared" ca="1" si="57"/>
        <v>0.46296308751705445</v>
      </c>
      <c r="H322" s="103">
        <f t="shared" ca="1" si="58"/>
        <v>0.22908242969252796</v>
      </c>
      <c r="I322" s="103" t="e">
        <f t="shared" ca="1" si="59"/>
        <v>#REF!</v>
      </c>
      <c r="J322" s="103" t="e">
        <f t="shared" ca="1" si="60"/>
        <v>#REF!</v>
      </c>
      <c r="K322" s="103" t="e">
        <f t="shared" ca="1" si="61"/>
        <v>#REF!</v>
      </c>
      <c r="L322" s="103" t="e">
        <f t="shared" ca="1" si="62"/>
        <v>#REF!</v>
      </c>
      <c r="M322" s="103" t="e">
        <f t="shared" ca="1" si="63"/>
        <v>#REF!</v>
      </c>
      <c r="N322" s="104" t="e">
        <f t="shared" ca="1" si="64"/>
        <v>#REF!</v>
      </c>
    </row>
    <row r="323" spans="1:14">
      <c r="A323" s="95">
        <v>285</v>
      </c>
      <c r="B323" s="102" t="e">
        <f t="shared" ca="1" si="52"/>
        <v>#REF!</v>
      </c>
      <c r="C323" s="102" t="e">
        <f t="shared" ca="1" si="53"/>
        <v>#REF!</v>
      </c>
      <c r="D323" s="102" t="e">
        <f t="shared" ca="1" si="54"/>
        <v>#REF!</v>
      </c>
      <c r="E323" s="102" t="e">
        <f t="shared" ca="1" si="55"/>
        <v>#REF!</v>
      </c>
      <c r="F323" s="102" t="e">
        <f t="shared" ca="1" si="56"/>
        <v>#REF!</v>
      </c>
      <c r="G323" s="103">
        <f t="shared" ca="1" si="57"/>
        <v>0.44700194296132434</v>
      </c>
      <c r="H323" s="103">
        <f t="shared" ca="1" si="58"/>
        <v>0.21597785212777662</v>
      </c>
      <c r="I323" s="103" t="e">
        <f t="shared" ca="1" si="59"/>
        <v>#REF!</v>
      </c>
      <c r="J323" s="103" t="e">
        <f t="shared" ca="1" si="60"/>
        <v>#REF!</v>
      </c>
      <c r="K323" s="103" t="e">
        <f t="shared" ca="1" si="61"/>
        <v>#REF!</v>
      </c>
      <c r="L323" s="103" t="e">
        <f t="shared" ca="1" si="62"/>
        <v>#REF!</v>
      </c>
      <c r="M323" s="103" t="e">
        <f t="shared" ca="1" si="63"/>
        <v>#REF!</v>
      </c>
      <c r="N323" s="104" t="e">
        <f t="shared" ca="1" si="64"/>
        <v>#REF!</v>
      </c>
    </row>
    <row r="324" spans="1:14">
      <c r="A324" s="96">
        <v>286</v>
      </c>
      <c r="B324" s="102" t="e">
        <f t="shared" ca="1" si="52"/>
        <v>#REF!</v>
      </c>
      <c r="C324" s="102" t="e">
        <f t="shared" ca="1" si="53"/>
        <v>#REF!</v>
      </c>
      <c r="D324" s="102" t="e">
        <f t="shared" ca="1" si="54"/>
        <v>#REF!</v>
      </c>
      <c r="E324" s="102" t="e">
        <f t="shared" ca="1" si="55"/>
        <v>#REF!</v>
      </c>
      <c r="F324" s="102" t="e">
        <f t="shared" ca="1" si="56"/>
        <v>#REF!</v>
      </c>
      <c r="G324" s="103">
        <f t="shared" ca="1" si="57"/>
        <v>0.41236550638516645</v>
      </c>
      <c r="H324" s="103">
        <f t="shared" ca="1" si="58"/>
        <v>0.21933890307255222</v>
      </c>
      <c r="I324" s="103" t="e">
        <f t="shared" ca="1" si="59"/>
        <v>#REF!</v>
      </c>
      <c r="J324" s="103" t="e">
        <f t="shared" ca="1" si="60"/>
        <v>#REF!</v>
      </c>
      <c r="K324" s="103" t="e">
        <f t="shared" ca="1" si="61"/>
        <v>#REF!</v>
      </c>
      <c r="L324" s="103" t="e">
        <f t="shared" ca="1" si="62"/>
        <v>#REF!</v>
      </c>
      <c r="M324" s="103" t="e">
        <f t="shared" ca="1" si="63"/>
        <v>#REF!</v>
      </c>
      <c r="N324" s="104" t="e">
        <f t="shared" ca="1" si="64"/>
        <v>#REF!</v>
      </c>
    </row>
    <row r="325" spans="1:14">
      <c r="A325" s="95">
        <v>287</v>
      </c>
      <c r="B325" s="102" t="e">
        <f t="shared" ca="1" si="52"/>
        <v>#REF!</v>
      </c>
      <c r="C325" s="102" t="e">
        <f t="shared" ca="1" si="53"/>
        <v>#REF!</v>
      </c>
      <c r="D325" s="102" t="e">
        <f t="shared" ca="1" si="54"/>
        <v>#REF!</v>
      </c>
      <c r="E325" s="102" t="e">
        <f t="shared" ca="1" si="55"/>
        <v>#REF!</v>
      </c>
      <c r="F325" s="102" t="e">
        <f t="shared" ca="1" si="56"/>
        <v>#REF!</v>
      </c>
      <c r="G325" s="103">
        <f t="shared" ca="1" si="57"/>
        <v>0.41130458657137819</v>
      </c>
      <c r="H325" s="103">
        <f t="shared" ca="1" si="58"/>
        <v>0.18508330881599619</v>
      </c>
      <c r="I325" s="103" t="e">
        <f t="shared" ca="1" si="59"/>
        <v>#REF!</v>
      </c>
      <c r="J325" s="103" t="e">
        <f t="shared" ca="1" si="60"/>
        <v>#REF!</v>
      </c>
      <c r="K325" s="103" t="e">
        <f t="shared" ca="1" si="61"/>
        <v>#REF!</v>
      </c>
      <c r="L325" s="103" t="e">
        <f t="shared" ca="1" si="62"/>
        <v>#REF!</v>
      </c>
      <c r="M325" s="103" t="e">
        <f t="shared" ca="1" si="63"/>
        <v>#REF!</v>
      </c>
      <c r="N325" s="104" t="e">
        <f t="shared" ca="1" si="64"/>
        <v>#REF!</v>
      </c>
    </row>
    <row r="326" spans="1:14">
      <c r="A326" s="96">
        <v>288</v>
      </c>
      <c r="B326" s="102" t="e">
        <f t="shared" ca="1" si="52"/>
        <v>#REF!</v>
      </c>
      <c r="C326" s="102" t="e">
        <f t="shared" ca="1" si="53"/>
        <v>#REF!</v>
      </c>
      <c r="D326" s="102" t="e">
        <f t="shared" ca="1" si="54"/>
        <v>#REF!</v>
      </c>
      <c r="E326" s="102" t="e">
        <f t="shared" ca="1" si="55"/>
        <v>#REF!</v>
      </c>
      <c r="F326" s="102" t="e">
        <f t="shared" ca="1" si="56"/>
        <v>#REF!</v>
      </c>
      <c r="G326" s="103">
        <f t="shared" ca="1" si="57"/>
        <v>0.44553903450267796</v>
      </c>
      <c r="H326" s="103">
        <f t="shared" ca="1" si="58"/>
        <v>0.205313575562804</v>
      </c>
      <c r="I326" s="103" t="e">
        <f t="shared" ca="1" si="59"/>
        <v>#REF!</v>
      </c>
      <c r="J326" s="103" t="e">
        <f t="shared" ca="1" si="60"/>
        <v>#REF!</v>
      </c>
      <c r="K326" s="103" t="e">
        <f t="shared" ca="1" si="61"/>
        <v>#REF!</v>
      </c>
      <c r="L326" s="103" t="e">
        <f t="shared" ca="1" si="62"/>
        <v>#REF!</v>
      </c>
      <c r="M326" s="103" t="e">
        <f t="shared" ca="1" si="63"/>
        <v>#REF!</v>
      </c>
      <c r="N326" s="104" t="e">
        <f t="shared" ca="1" si="64"/>
        <v>#REF!</v>
      </c>
    </row>
    <row r="327" spans="1:14">
      <c r="A327" s="95">
        <v>289</v>
      </c>
      <c r="B327" s="102" t="e">
        <f t="shared" ca="1" si="52"/>
        <v>#REF!</v>
      </c>
      <c r="C327" s="102" t="e">
        <f t="shared" ca="1" si="53"/>
        <v>#REF!</v>
      </c>
      <c r="D327" s="102" t="e">
        <f t="shared" ca="1" si="54"/>
        <v>#REF!</v>
      </c>
      <c r="E327" s="102" t="e">
        <f t="shared" ca="1" si="55"/>
        <v>#REF!</v>
      </c>
      <c r="F327" s="102" t="e">
        <f t="shared" ca="1" si="56"/>
        <v>#REF!</v>
      </c>
      <c r="G327" s="103">
        <f t="shared" ca="1" si="57"/>
        <v>0.43974106713101591</v>
      </c>
      <c r="H327" s="103">
        <f t="shared" ca="1" si="58"/>
        <v>0.19540398911234305</v>
      </c>
      <c r="I327" s="103" t="e">
        <f t="shared" ca="1" si="59"/>
        <v>#REF!</v>
      </c>
      <c r="J327" s="103" t="e">
        <f t="shared" ca="1" si="60"/>
        <v>#REF!</v>
      </c>
      <c r="K327" s="103" t="e">
        <f t="shared" ca="1" si="61"/>
        <v>#REF!</v>
      </c>
      <c r="L327" s="103" t="e">
        <f t="shared" ca="1" si="62"/>
        <v>#REF!</v>
      </c>
      <c r="M327" s="103" t="e">
        <f t="shared" ca="1" si="63"/>
        <v>#REF!</v>
      </c>
      <c r="N327" s="104" t="e">
        <f t="shared" ca="1" si="64"/>
        <v>#REF!</v>
      </c>
    </row>
    <row r="328" spans="1:14">
      <c r="A328" s="96">
        <v>290</v>
      </c>
      <c r="B328" s="102" t="e">
        <f t="shared" ca="1" si="52"/>
        <v>#REF!</v>
      </c>
      <c r="C328" s="102" t="e">
        <f t="shared" ca="1" si="53"/>
        <v>#REF!</v>
      </c>
      <c r="D328" s="102" t="e">
        <f t="shared" ca="1" si="54"/>
        <v>#REF!</v>
      </c>
      <c r="E328" s="102" t="e">
        <f t="shared" ca="1" si="55"/>
        <v>#REF!</v>
      </c>
      <c r="F328" s="102" t="e">
        <f t="shared" ca="1" si="56"/>
        <v>#REF!</v>
      </c>
      <c r="G328" s="103">
        <f t="shared" ca="1" si="57"/>
        <v>0.40980262215620777</v>
      </c>
      <c r="H328" s="103">
        <f t="shared" ca="1" si="58"/>
        <v>0.18691396908358993</v>
      </c>
      <c r="I328" s="103" t="e">
        <f t="shared" ca="1" si="59"/>
        <v>#REF!</v>
      </c>
      <c r="J328" s="103" t="e">
        <f t="shared" ca="1" si="60"/>
        <v>#REF!</v>
      </c>
      <c r="K328" s="103" t="e">
        <f t="shared" ca="1" si="61"/>
        <v>#REF!</v>
      </c>
      <c r="L328" s="103" t="e">
        <f t="shared" ca="1" si="62"/>
        <v>#REF!</v>
      </c>
      <c r="M328" s="103" t="e">
        <f t="shared" ca="1" si="63"/>
        <v>#REF!</v>
      </c>
      <c r="N328" s="104" t="e">
        <f t="shared" ca="1" si="64"/>
        <v>#REF!</v>
      </c>
    </row>
    <row r="329" spans="1:14">
      <c r="A329" s="95">
        <v>291</v>
      </c>
      <c r="B329" s="102" t="e">
        <f t="shared" ca="1" si="52"/>
        <v>#REF!</v>
      </c>
      <c r="C329" s="102" t="e">
        <f t="shared" ca="1" si="53"/>
        <v>#REF!</v>
      </c>
      <c r="D329" s="102" t="e">
        <f t="shared" ca="1" si="54"/>
        <v>#REF!</v>
      </c>
      <c r="E329" s="102" t="e">
        <f t="shared" ca="1" si="55"/>
        <v>#REF!</v>
      </c>
      <c r="F329" s="102" t="e">
        <f t="shared" ca="1" si="56"/>
        <v>#REF!</v>
      </c>
      <c r="G329" s="103">
        <f t="shared" ca="1" si="57"/>
        <v>0.44876959772525293</v>
      </c>
      <c r="H329" s="103">
        <f t="shared" ca="1" si="58"/>
        <v>0.20417829546662089</v>
      </c>
      <c r="I329" s="103" t="e">
        <f t="shared" ca="1" si="59"/>
        <v>#REF!</v>
      </c>
      <c r="J329" s="103" t="e">
        <f t="shared" ca="1" si="60"/>
        <v>#REF!</v>
      </c>
      <c r="K329" s="103" t="e">
        <f t="shared" ca="1" si="61"/>
        <v>#REF!</v>
      </c>
      <c r="L329" s="103" t="e">
        <f t="shared" ca="1" si="62"/>
        <v>#REF!</v>
      </c>
      <c r="M329" s="103" t="e">
        <f t="shared" ca="1" si="63"/>
        <v>#REF!</v>
      </c>
      <c r="N329" s="104" t="e">
        <f t="shared" ca="1" si="64"/>
        <v>#REF!</v>
      </c>
    </row>
    <row r="330" spans="1:14">
      <c r="A330" s="96">
        <v>292</v>
      </c>
      <c r="B330" s="102" t="e">
        <f t="shared" ca="1" si="52"/>
        <v>#REF!</v>
      </c>
      <c r="C330" s="102" t="e">
        <f t="shared" ca="1" si="53"/>
        <v>#REF!</v>
      </c>
      <c r="D330" s="102" t="e">
        <f t="shared" ca="1" si="54"/>
        <v>#REF!</v>
      </c>
      <c r="E330" s="102" t="e">
        <f t="shared" ca="1" si="55"/>
        <v>#REF!</v>
      </c>
      <c r="F330" s="102" t="e">
        <f t="shared" ca="1" si="56"/>
        <v>#REF!</v>
      </c>
      <c r="G330" s="103">
        <f t="shared" ca="1" si="57"/>
        <v>0.44658699090733417</v>
      </c>
      <c r="H330" s="103">
        <f t="shared" ca="1" si="58"/>
        <v>0.23304471503133231</v>
      </c>
      <c r="I330" s="103" t="e">
        <f t="shared" ca="1" si="59"/>
        <v>#REF!</v>
      </c>
      <c r="J330" s="103" t="e">
        <f t="shared" ca="1" si="60"/>
        <v>#REF!</v>
      </c>
      <c r="K330" s="103" t="e">
        <f t="shared" ca="1" si="61"/>
        <v>#REF!</v>
      </c>
      <c r="L330" s="103" t="e">
        <f t="shared" ca="1" si="62"/>
        <v>#REF!</v>
      </c>
      <c r="M330" s="103" t="e">
        <f t="shared" ca="1" si="63"/>
        <v>#REF!</v>
      </c>
      <c r="N330" s="104" t="e">
        <f t="shared" ca="1" si="64"/>
        <v>#REF!</v>
      </c>
    </row>
    <row r="331" spans="1:14">
      <c r="A331" s="95">
        <v>293</v>
      </c>
      <c r="B331" s="102" t="e">
        <f t="shared" ca="1" si="52"/>
        <v>#REF!</v>
      </c>
      <c r="C331" s="102" t="e">
        <f t="shared" ca="1" si="53"/>
        <v>#REF!</v>
      </c>
      <c r="D331" s="102" t="e">
        <f t="shared" ca="1" si="54"/>
        <v>#REF!</v>
      </c>
      <c r="E331" s="102" t="e">
        <f t="shared" ca="1" si="55"/>
        <v>#REF!</v>
      </c>
      <c r="F331" s="102" t="e">
        <f t="shared" ca="1" si="56"/>
        <v>#REF!</v>
      </c>
      <c r="G331" s="103">
        <f t="shared" ca="1" si="57"/>
        <v>0.45702371924543278</v>
      </c>
      <c r="H331" s="103">
        <f t="shared" ca="1" si="58"/>
        <v>0.20024425915302824</v>
      </c>
      <c r="I331" s="103" t="e">
        <f t="shared" ca="1" si="59"/>
        <v>#REF!</v>
      </c>
      <c r="J331" s="103" t="e">
        <f t="shared" ca="1" si="60"/>
        <v>#REF!</v>
      </c>
      <c r="K331" s="103" t="e">
        <f t="shared" ca="1" si="61"/>
        <v>#REF!</v>
      </c>
      <c r="L331" s="103" t="e">
        <f t="shared" ca="1" si="62"/>
        <v>#REF!</v>
      </c>
      <c r="M331" s="103" t="e">
        <f t="shared" ca="1" si="63"/>
        <v>#REF!</v>
      </c>
      <c r="N331" s="104" t="e">
        <f t="shared" ca="1" si="64"/>
        <v>#REF!</v>
      </c>
    </row>
    <row r="332" spans="1:14">
      <c r="A332" s="96">
        <v>294</v>
      </c>
      <c r="B332" s="102" t="e">
        <f t="shared" ca="1" si="52"/>
        <v>#REF!</v>
      </c>
      <c r="C332" s="102" t="e">
        <f t="shared" ca="1" si="53"/>
        <v>#REF!</v>
      </c>
      <c r="D332" s="102" t="e">
        <f t="shared" ca="1" si="54"/>
        <v>#REF!</v>
      </c>
      <c r="E332" s="102" t="e">
        <f t="shared" ca="1" si="55"/>
        <v>#REF!</v>
      </c>
      <c r="F332" s="102" t="e">
        <f t="shared" ca="1" si="56"/>
        <v>#REF!</v>
      </c>
      <c r="G332" s="103">
        <f t="shared" ca="1" si="57"/>
        <v>0.46611357337297954</v>
      </c>
      <c r="H332" s="103">
        <f t="shared" ca="1" si="58"/>
        <v>0.20365834707596031</v>
      </c>
      <c r="I332" s="103" t="e">
        <f t="shared" ca="1" si="59"/>
        <v>#REF!</v>
      </c>
      <c r="J332" s="103" t="e">
        <f t="shared" ca="1" si="60"/>
        <v>#REF!</v>
      </c>
      <c r="K332" s="103" t="e">
        <f t="shared" ca="1" si="61"/>
        <v>#REF!</v>
      </c>
      <c r="L332" s="103" t="e">
        <f t="shared" ca="1" si="62"/>
        <v>#REF!</v>
      </c>
      <c r="M332" s="103" t="e">
        <f t="shared" ca="1" si="63"/>
        <v>#REF!</v>
      </c>
      <c r="N332" s="104" t="e">
        <f t="shared" ca="1" si="64"/>
        <v>#REF!</v>
      </c>
    </row>
    <row r="333" spans="1:14">
      <c r="A333" s="95">
        <v>295</v>
      </c>
      <c r="B333" s="102" t="e">
        <f t="shared" ca="1" si="52"/>
        <v>#REF!</v>
      </c>
      <c r="C333" s="102" t="e">
        <f t="shared" ca="1" si="53"/>
        <v>#REF!</v>
      </c>
      <c r="D333" s="102" t="e">
        <f t="shared" ca="1" si="54"/>
        <v>#REF!</v>
      </c>
      <c r="E333" s="102" t="e">
        <f t="shared" ca="1" si="55"/>
        <v>#REF!</v>
      </c>
      <c r="F333" s="102" t="e">
        <f t="shared" ca="1" si="56"/>
        <v>#REF!</v>
      </c>
      <c r="G333" s="103">
        <f t="shared" ca="1" si="57"/>
        <v>0.46302188002324146</v>
      </c>
      <c r="H333" s="103">
        <f t="shared" ca="1" si="58"/>
        <v>0.19728010180273828</v>
      </c>
      <c r="I333" s="103" t="e">
        <f t="shared" ca="1" si="59"/>
        <v>#REF!</v>
      </c>
      <c r="J333" s="103" t="e">
        <f t="shared" ca="1" si="60"/>
        <v>#REF!</v>
      </c>
      <c r="K333" s="103" t="e">
        <f t="shared" ca="1" si="61"/>
        <v>#REF!</v>
      </c>
      <c r="L333" s="103" t="e">
        <f t="shared" ca="1" si="62"/>
        <v>#REF!</v>
      </c>
      <c r="M333" s="103" t="e">
        <f t="shared" ca="1" si="63"/>
        <v>#REF!</v>
      </c>
      <c r="N333" s="104" t="e">
        <f t="shared" ca="1" si="64"/>
        <v>#REF!</v>
      </c>
    </row>
    <row r="334" spans="1:14">
      <c r="A334" s="96">
        <v>296</v>
      </c>
      <c r="B334" s="102" t="e">
        <f t="shared" ca="1" si="52"/>
        <v>#REF!</v>
      </c>
      <c r="C334" s="102" t="e">
        <f t="shared" ca="1" si="53"/>
        <v>#REF!</v>
      </c>
      <c r="D334" s="102" t="e">
        <f t="shared" ca="1" si="54"/>
        <v>#REF!</v>
      </c>
      <c r="E334" s="102" t="e">
        <f t="shared" ca="1" si="55"/>
        <v>#REF!</v>
      </c>
      <c r="F334" s="102" t="e">
        <f t="shared" ca="1" si="56"/>
        <v>#REF!</v>
      </c>
      <c r="G334" s="103">
        <f t="shared" ca="1" si="57"/>
        <v>0.398083342598678</v>
      </c>
      <c r="H334" s="103">
        <f t="shared" ca="1" si="58"/>
        <v>0.22822985606391102</v>
      </c>
      <c r="I334" s="103" t="e">
        <f t="shared" ca="1" si="59"/>
        <v>#REF!</v>
      </c>
      <c r="J334" s="103" t="e">
        <f t="shared" ca="1" si="60"/>
        <v>#REF!</v>
      </c>
      <c r="K334" s="103" t="e">
        <f t="shared" ca="1" si="61"/>
        <v>#REF!</v>
      </c>
      <c r="L334" s="103" t="e">
        <f t="shared" ca="1" si="62"/>
        <v>#REF!</v>
      </c>
      <c r="M334" s="103" t="e">
        <f t="shared" ca="1" si="63"/>
        <v>#REF!</v>
      </c>
      <c r="N334" s="104" t="e">
        <f t="shared" ca="1" si="64"/>
        <v>#REF!</v>
      </c>
    </row>
    <row r="335" spans="1:14">
      <c r="A335" s="95">
        <v>297</v>
      </c>
      <c r="B335" s="102" t="e">
        <f t="shared" ca="1" si="52"/>
        <v>#REF!</v>
      </c>
      <c r="C335" s="102" t="e">
        <f t="shared" ca="1" si="53"/>
        <v>#REF!</v>
      </c>
      <c r="D335" s="102" t="e">
        <f t="shared" ca="1" si="54"/>
        <v>#REF!</v>
      </c>
      <c r="E335" s="102" t="e">
        <f t="shared" ca="1" si="55"/>
        <v>#REF!</v>
      </c>
      <c r="F335" s="102" t="e">
        <f t="shared" ca="1" si="56"/>
        <v>#REF!</v>
      </c>
      <c r="G335" s="103">
        <f t="shared" ca="1" si="57"/>
        <v>0.43575487855886164</v>
      </c>
      <c r="H335" s="103">
        <f t="shared" ca="1" si="58"/>
        <v>0.17618222238974759</v>
      </c>
      <c r="I335" s="103" t="e">
        <f t="shared" ca="1" si="59"/>
        <v>#REF!</v>
      </c>
      <c r="J335" s="103" t="e">
        <f t="shared" ca="1" si="60"/>
        <v>#REF!</v>
      </c>
      <c r="K335" s="103" t="e">
        <f t="shared" ca="1" si="61"/>
        <v>#REF!</v>
      </c>
      <c r="L335" s="103" t="e">
        <f t="shared" ca="1" si="62"/>
        <v>#REF!</v>
      </c>
      <c r="M335" s="103" t="e">
        <f t="shared" ca="1" si="63"/>
        <v>#REF!</v>
      </c>
      <c r="N335" s="104" t="e">
        <f t="shared" ca="1" si="64"/>
        <v>#REF!</v>
      </c>
    </row>
    <row r="336" spans="1:14">
      <c r="A336" s="96">
        <v>298</v>
      </c>
      <c r="B336" s="102" t="e">
        <f t="shared" ca="1" si="52"/>
        <v>#REF!</v>
      </c>
      <c r="C336" s="102" t="e">
        <f t="shared" ca="1" si="53"/>
        <v>#REF!</v>
      </c>
      <c r="D336" s="102" t="e">
        <f t="shared" ca="1" si="54"/>
        <v>#REF!</v>
      </c>
      <c r="E336" s="102" t="e">
        <f t="shared" ca="1" si="55"/>
        <v>#REF!</v>
      </c>
      <c r="F336" s="102" t="e">
        <f t="shared" ca="1" si="56"/>
        <v>#REF!</v>
      </c>
      <c r="G336" s="103">
        <f t="shared" ca="1" si="57"/>
        <v>0.44464765516345545</v>
      </c>
      <c r="H336" s="103">
        <f t="shared" ca="1" si="58"/>
        <v>0.2185799440824526</v>
      </c>
      <c r="I336" s="103" t="e">
        <f t="shared" ca="1" si="59"/>
        <v>#REF!</v>
      </c>
      <c r="J336" s="103" t="e">
        <f t="shared" ca="1" si="60"/>
        <v>#REF!</v>
      </c>
      <c r="K336" s="103" t="e">
        <f t="shared" ca="1" si="61"/>
        <v>#REF!</v>
      </c>
      <c r="L336" s="103" t="e">
        <f t="shared" ca="1" si="62"/>
        <v>#REF!</v>
      </c>
      <c r="M336" s="103" t="e">
        <f t="shared" ca="1" si="63"/>
        <v>#REF!</v>
      </c>
      <c r="N336" s="104" t="e">
        <f t="shared" ca="1" si="64"/>
        <v>#REF!</v>
      </c>
    </row>
    <row r="337" spans="1:14">
      <c r="A337" s="95">
        <v>299</v>
      </c>
      <c r="B337" s="102" t="e">
        <f t="shared" ca="1" si="52"/>
        <v>#REF!</v>
      </c>
      <c r="C337" s="102" t="e">
        <f t="shared" ca="1" si="53"/>
        <v>#REF!</v>
      </c>
      <c r="D337" s="102" t="e">
        <f t="shared" ca="1" si="54"/>
        <v>#REF!</v>
      </c>
      <c r="E337" s="102" t="e">
        <f t="shared" ca="1" si="55"/>
        <v>#REF!</v>
      </c>
      <c r="F337" s="102" t="e">
        <f t="shared" ca="1" si="56"/>
        <v>#REF!</v>
      </c>
      <c r="G337" s="103">
        <f t="shared" ca="1" si="57"/>
        <v>0.45601846303302951</v>
      </c>
      <c r="H337" s="103">
        <f t="shared" ca="1" si="58"/>
        <v>0.20361092166254646</v>
      </c>
      <c r="I337" s="103" t="e">
        <f t="shared" ca="1" si="59"/>
        <v>#REF!</v>
      </c>
      <c r="J337" s="103" t="e">
        <f t="shared" ca="1" si="60"/>
        <v>#REF!</v>
      </c>
      <c r="K337" s="103" t="e">
        <f t="shared" ca="1" si="61"/>
        <v>#REF!</v>
      </c>
      <c r="L337" s="103" t="e">
        <f t="shared" ca="1" si="62"/>
        <v>#REF!</v>
      </c>
      <c r="M337" s="103" t="e">
        <f t="shared" ca="1" si="63"/>
        <v>#REF!</v>
      </c>
      <c r="N337" s="104" t="e">
        <f t="shared" ca="1" si="64"/>
        <v>#REF!</v>
      </c>
    </row>
    <row r="338" spans="1:14">
      <c r="A338" s="96">
        <v>300</v>
      </c>
      <c r="B338" s="102" t="e">
        <f t="shared" ca="1" si="52"/>
        <v>#REF!</v>
      </c>
      <c r="C338" s="102" t="e">
        <f t="shared" ca="1" si="53"/>
        <v>#REF!</v>
      </c>
      <c r="D338" s="102" t="e">
        <f t="shared" ca="1" si="54"/>
        <v>#REF!</v>
      </c>
      <c r="E338" s="102" t="e">
        <f t="shared" ca="1" si="55"/>
        <v>#REF!</v>
      </c>
      <c r="F338" s="102" t="e">
        <f t="shared" ca="1" si="56"/>
        <v>#REF!</v>
      </c>
      <c r="G338" s="103">
        <f t="shared" ca="1" si="57"/>
        <v>0.45531944151270476</v>
      </c>
      <c r="H338" s="103">
        <f t="shared" ca="1" si="58"/>
        <v>0.19379851258356889</v>
      </c>
      <c r="I338" s="103" t="e">
        <f t="shared" ca="1" si="59"/>
        <v>#REF!</v>
      </c>
      <c r="J338" s="103" t="e">
        <f t="shared" ca="1" si="60"/>
        <v>#REF!</v>
      </c>
      <c r="K338" s="103" t="e">
        <f t="shared" ca="1" si="61"/>
        <v>#REF!</v>
      </c>
      <c r="L338" s="103" t="e">
        <f t="shared" ca="1" si="62"/>
        <v>#REF!</v>
      </c>
      <c r="M338" s="103" t="e">
        <f t="shared" ca="1" si="63"/>
        <v>#REF!</v>
      </c>
      <c r="N338" s="104" t="e">
        <f t="shared" ca="1" si="64"/>
        <v>#REF!</v>
      </c>
    </row>
    <row r="339" spans="1:14">
      <c r="A339" s="95">
        <v>301</v>
      </c>
      <c r="B339" s="102" t="e">
        <f t="shared" ca="1" si="52"/>
        <v>#REF!</v>
      </c>
      <c r="C339" s="102" t="e">
        <f t="shared" ca="1" si="53"/>
        <v>#REF!</v>
      </c>
      <c r="D339" s="102" t="e">
        <f t="shared" ca="1" si="54"/>
        <v>#REF!</v>
      </c>
      <c r="E339" s="102" t="e">
        <f t="shared" ca="1" si="55"/>
        <v>#REF!</v>
      </c>
      <c r="F339" s="102" t="e">
        <f t="shared" ca="1" si="56"/>
        <v>#REF!</v>
      </c>
      <c r="G339" s="103">
        <f t="shared" ca="1" si="57"/>
        <v>0.40171125367920529</v>
      </c>
      <c r="H339" s="103">
        <f t="shared" ca="1" si="58"/>
        <v>0.21226440066673635</v>
      </c>
      <c r="I339" s="103" t="e">
        <f t="shared" ca="1" si="59"/>
        <v>#REF!</v>
      </c>
      <c r="J339" s="103" t="e">
        <f t="shared" ca="1" si="60"/>
        <v>#REF!</v>
      </c>
      <c r="K339" s="103" t="e">
        <f t="shared" ca="1" si="61"/>
        <v>#REF!</v>
      </c>
      <c r="L339" s="103" t="e">
        <f t="shared" ca="1" si="62"/>
        <v>#REF!</v>
      </c>
      <c r="M339" s="103" t="e">
        <f t="shared" ca="1" si="63"/>
        <v>#REF!</v>
      </c>
      <c r="N339" s="104" t="e">
        <f t="shared" ca="1" si="64"/>
        <v>#REF!</v>
      </c>
    </row>
    <row r="340" spans="1:14">
      <c r="A340" s="96">
        <v>302</v>
      </c>
      <c r="B340" s="102" t="e">
        <f t="shared" ca="1" si="52"/>
        <v>#REF!</v>
      </c>
      <c r="C340" s="102" t="e">
        <f t="shared" ca="1" si="53"/>
        <v>#REF!</v>
      </c>
      <c r="D340" s="102" t="e">
        <f t="shared" ca="1" si="54"/>
        <v>#REF!</v>
      </c>
      <c r="E340" s="102" t="e">
        <f t="shared" ca="1" si="55"/>
        <v>#REF!</v>
      </c>
      <c r="F340" s="102" t="e">
        <f t="shared" ca="1" si="56"/>
        <v>#REF!</v>
      </c>
      <c r="G340" s="103">
        <f t="shared" ca="1" si="57"/>
        <v>0.44520614940597675</v>
      </c>
      <c r="H340" s="103">
        <f t="shared" ca="1" si="58"/>
        <v>0.22865177155572286</v>
      </c>
      <c r="I340" s="103" t="e">
        <f t="shared" ca="1" si="59"/>
        <v>#REF!</v>
      </c>
      <c r="J340" s="103" t="e">
        <f t="shared" ca="1" si="60"/>
        <v>#REF!</v>
      </c>
      <c r="K340" s="103" t="e">
        <f t="shared" ca="1" si="61"/>
        <v>#REF!</v>
      </c>
      <c r="L340" s="103" t="e">
        <f t="shared" ca="1" si="62"/>
        <v>#REF!</v>
      </c>
      <c r="M340" s="103" t="e">
        <f t="shared" ca="1" si="63"/>
        <v>#REF!</v>
      </c>
      <c r="N340" s="104" t="e">
        <f t="shared" ca="1" si="64"/>
        <v>#REF!</v>
      </c>
    </row>
    <row r="341" spans="1:14">
      <c r="A341" s="95">
        <v>303</v>
      </c>
      <c r="B341" s="102" t="e">
        <f t="shared" ca="1" si="52"/>
        <v>#REF!</v>
      </c>
      <c r="C341" s="102" t="e">
        <f t="shared" ca="1" si="53"/>
        <v>#REF!</v>
      </c>
      <c r="D341" s="102" t="e">
        <f t="shared" ca="1" si="54"/>
        <v>#REF!</v>
      </c>
      <c r="E341" s="102" t="e">
        <f t="shared" ca="1" si="55"/>
        <v>#REF!</v>
      </c>
      <c r="F341" s="102" t="e">
        <f t="shared" ca="1" si="56"/>
        <v>#REF!</v>
      </c>
      <c r="G341" s="103">
        <f t="shared" ca="1" si="57"/>
        <v>0.44117886945464774</v>
      </c>
      <c r="H341" s="103">
        <f t="shared" ca="1" si="58"/>
        <v>0.20464032246298655</v>
      </c>
      <c r="I341" s="103" t="e">
        <f t="shared" ca="1" si="59"/>
        <v>#REF!</v>
      </c>
      <c r="J341" s="103" t="e">
        <f t="shared" ca="1" si="60"/>
        <v>#REF!</v>
      </c>
      <c r="K341" s="103" t="e">
        <f t="shared" ca="1" si="61"/>
        <v>#REF!</v>
      </c>
      <c r="L341" s="103" t="e">
        <f t="shared" ca="1" si="62"/>
        <v>#REF!</v>
      </c>
      <c r="M341" s="103" t="e">
        <f t="shared" ca="1" si="63"/>
        <v>#REF!</v>
      </c>
      <c r="N341" s="104" t="e">
        <f t="shared" ca="1" si="64"/>
        <v>#REF!</v>
      </c>
    </row>
    <row r="342" spans="1:14">
      <c r="A342" s="96">
        <v>304</v>
      </c>
      <c r="B342" s="102" t="e">
        <f t="shared" ca="1" si="52"/>
        <v>#REF!</v>
      </c>
      <c r="C342" s="102" t="e">
        <f t="shared" ca="1" si="53"/>
        <v>#REF!</v>
      </c>
      <c r="D342" s="102" t="e">
        <f t="shared" ca="1" si="54"/>
        <v>#REF!</v>
      </c>
      <c r="E342" s="102" t="e">
        <f t="shared" ca="1" si="55"/>
        <v>#REF!</v>
      </c>
      <c r="F342" s="102" t="e">
        <f t="shared" ca="1" si="56"/>
        <v>#REF!</v>
      </c>
      <c r="G342" s="103">
        <f t="shared" ca="1" si="57"/>
        <v>0.42023827829122012</v>
      </c>
      <c r="H342" s="103">
        <f t="shared" ca="1" si="58"/>
        <v>0.19054914239275139</v>
      </c>
      <c r="I342" s="103" t="e">
        <f t="shared" ca="1" si="59"/>
        <v>#REF!</v>
      </c>
      <c r="J342" s="103" t="e">
        <f t="shared" ca="1" si="60"/>
        <v>#REF!</v>
      </c>
      <c r="K342" s="103" t="e">
        <f t="shared" ca="1" si="61"/>
        <v>#REF!</v>
      </c>
      <c r="L342" s="103" t="e">
        <f t="shared" ca="1" si="62"/>
        <v>#REF!</v>
      </c>
      <c r="M342" s="103" t="e">
        <f t="shared" ca="1" si="63"/>
        <v>#REF!</v>
      </c>
      <c r="N342" s="104" t="e">
        <f t="shared" ca="1" si="64"/>
        <v>#REF!</v>
      </c>
    </row>
    <row r="343" spans="1:14">
      <c r="A343" s="95">
        <v>305</v>
      </c>
      <c r="B343" s="102" t="e">
        <f t="shared" ca="1" si="52"/>
        <v>#REF!</v>
      </c>
      <c r="C343" s="102" t="e">
        <f t="shared" ca="1" si="53"/>
        <v>#REF!</v>
      </c>
      <c r="D343" s="102" t="e">
        <f t="shared" ca="1" si="54"/>
        <v>#REF!</v>
      </c>
      <c r="E343" s="102" t="e">
        <f t="shared" ca="1" si="55"/>
        <v>#REF!</v>
      </c>
      <c r="F343" s="102" t="e">
        <f t="shared" ca="1" si="56"/>
        <v>#REF!</v>
      </c>
      <c r="G343" s="103">
        <f t="shared" ca="1" si="57"/>
        <v>0.4354246688834264</v>
      </c>
      <c r="H343" s="103">
        <f t="shared" ca="1" si="58"/>
        <v>0.17992930306865781</v>
      </c>
      <c r="I343" s="103" t="e">
        <f t="shared" ca="1" si="59"/>
        <v>#REF!</v>
      </c>
      <c r="J343" s="103" t="e">
        <f t="shared" ca="1" si="60"/>
        <v>#REF!</v>
      </c>
      <c r="K343" s="103" t="e">
        <f t="shared" ca="1" si="61"/>
        <v>#REF!</v>
      </c>
      <c r="L343" s="103" t="e">
        <f t="shared" ca="1" si="62"/>
        <v>#REF!</v>
      </c>
      <c r="M343" s="103" t="e">
        <f t="shared" ca="1" si="63"/>
        <v>#REF!</v>
      </c>
      <c r="N343" s="104" t="e">
        <f t="shared" ca="1" si="64"/>
        <v>#REF!</v>
      </c>
    </row>
    <row r="344" spans="1:14">
      <c r="A344" s="96">
        <v>306</v>
      </c>
      <c r="B344" s="102" t="e">
        <f t="shared" ca="1" si="52"/>
        <v>#REF!</v>
      </c>
      <c r="C344" s="102" t="e">
        <f t="shared" ca="1" si="53"/>
        <v>#REF!</v>
      </c>
      <c r="D344" s="102" t="e">
        <f t="shared" ca="1" si="54"/>
        <v>#REF!</v>
      </c>
      <c r="E344" s="102" t="e">
        <f t="shared" ca="1" si="55"/>
        <v>#REF!</v>
      </c>
      <c r="F344" s="102" t="e">
        <f t="shared" ca="1" si="56"/>
        <v>#REF!</v>
      </c>
      <c r="G344" s="103">
        <f t="shared" ca="1" si="57"/>
        <v>0.44838049640257316</v>
      </c>
      <c r="H344" s="103">
        <f t="shared" ca="1" si="58"/>
        <v>0.19694527223890745</v>
      </c>
      <c r="I344" s="103" t="e">
        <f t="shared" ca="1" si="59"/>
        <v>#REF!</v>
      </c>
      <c r="J344" s="103" t="e">
        <f t="shared" ca="1" si="60"/>
        <v>#REF!</v>
      </c>
      <c r="K344" s="103" t="e">
        <f t="shared" ca="1" si="61"/>
        <v>#REF!</v>
      </c>
      <c r="L344" s="103" t="e">
        <f t="shared" ca="1" si="62"/>
        <v>#REF!</v>
      </c>
      <c r="M344" s="103" t="e">
        <f t="shared" ca="1" si="63"/>
        <v>#REF!</v>
      </c>
      <c r="N344" s="104" t="e">
        <f t="shared" ca="1" si="64"/>
        <v>#REF!</v>
      </c>
    </row>
    <row r="345" spans="1:14">
      <c r="A345" s="95">
        <v>307</v>
      </c>
      <c r="B345" s="102" t="e">
        <f t="shared" ca="1" si="52"/>
        <v>#REF!</v>
      </c>
      <c r="C345" s="102" t="e">
        <f t="shared" ca="1" si="53"/>
        <v>#REF!</v>
      </c>
      <c r="D345" s="102" t="e">
        <f t="shared" ca="1" si="54"/>
        <v>#REF!</v>
      </c>
      <c r="E345" s="102" t="e">
        <f t="shared" ca="1" si="55"/>
        <v>#REF!</v>
      </c>
      <c r="F345" s="102" t="e">
        <f t="shared" ca="1" si="56"/>
        <v>#REF!</v>
      </c>
      <c r="G345" s="103">
        <f t="shared" ca="1" si="57"/>
        <v>0.42670452757687571</v>
      </c>
      <c r="H345" s="103">
        <f t="shared" ca="1" si="58"/>
        <v>0.19672863039559685</v>
      </c>
      <c r="I345" s="103" t="e">
        <f t="shared" ca="1" si="59"/>
        <v>#REF!</v>
      </c>
      <c r="J345" s="103" t="e">
        <f t="shared" ca="1" si="60"/>
        <v>#REF!</v>
      </c>
      <c r="K345" s="103" t="e">
        <f t="shared" ca="1" si="61"/>
        <v>#REF!</v>
      </c>
      <c r="L345" s="103" t="e">
        <f t="shared" ca="1" si="62"/>
        <v>#REF!</v>
      </c>
      <c r="M345" s="103" t="e">
        <f t="shared" ca="1" si="63"/>
        <v>#REF!</v>
      </c>
      <c r="N345" s="104" t="e">
        <f t="shared" ca="1" si="64"/>
        <v>#REF!</v>
      </c>
    </row>
    <row r="346" spans="1:14">
      <c r="A346" s="96">
        <v>308</v>
      </c>
      <c r="B346" s="102" t="e">
        <f t="shared" ca="1" si="52"/>
        <v>#REF!</v>
      </c>
      <c r="C346" s="102" t="e">
        <f t="shared" ca="1" si="53"/>
        <v>#REF!</v>
      </c>
      <c r="D346" s="102" t="e">
        <f t="shared" ca="1" si="54"/>
        <v>#REF!</v>
      </c>
      <c r="E346" s="102" t="e">
        <f t="shared" ca="1" si="55"/>
        <v>#REF!</v>
      </c>
      <c r="F346" s="102" t="e">
        <f t="shared" ca="1" si="56"/>
        <v>#REF!</v>
      </c>
      <c r="G346" s="103">
        <f t="shared" ca="1" si="57"/>
        <v>0.38398383812032971</v>
      </c>
      <c r="H346" s="103">
        <f t="shared" ca="1" si="58"/>
        <v>0.20982014060841148</v>
      </c>
      <c r="I346" s="103" t="e">
        <f t="shared" ca="1" si="59"/>
        <v>#REF!</v>
      </c>
      <c r="J346" s="103" t="e">
        <f t="shared" ca="1" si="60"/>
        <v>#REF!</v>
      </c>
      <c r="K346" s="103" t="e">
        <f t="shared" ca="1" si="61"/>
        <v>#REF!</v>
      </c>
      <c r="L346" s="103" t="e">
        <f t="shared" ca="1" si="62"/>
        <v>#REF!</v>
      </c>
      <c r="M346" s="103" t="e">
        <f t="shared" ca="1" si="63"/>
        <v>#REF!</v>
      </c>
      <c r="N346" s="104" t="e">
        <f t="shared" ca="1" si="64"/>
        <v>#REF!</v>
      </c>
    </row>
    <row r="347" spans="1:14">
      <c r="A347" s="95">
        <v>309</v>
      </c>
      <c r="B347" s="102" t="e">
        <f t="shared" ca="1" si="52"/>
        <v>#REF!</v>
      </c>
      <c r="C347" s="102" t="e">
        <f t="shared" ca="1" si="53"/>
        <v>#REF!</v>
      </c>
      <c r="D347" s="102" t="e">
        <f t="shared" ca="1" si="54"/>
        <v>#REF!</v>
      </c>
      <c r="E347" s="102" t="e">
        <f t="shared" ca="1" si="55"/>
        <v>#REF!</v>
      </c>
      <c r="F347" s="102" t="e">
        <f t="shared" ca="1" si="56"/>
        <v>#REF!</v>
      </c>
      <c r="G347" s="103">
        <f t="shared" ca="1" si="57"/>
        <v>0.47656939641646973</v>
      </c>
      <c r="H347" s="103">
        <f t="shared" ca="1" si="58"/>
        <v>0.20515008237341462</v>
      </c>
      <c r="I347" s="103" t="e">
        <f t="shared" ca="1" si="59"/>
        <v>#REF!</v>
      </c>
      <c r="J347" s="103" t="e">
        <f t="shared" ca="1" si="60"/>
        <v>#REF!</v>
      </c>
      <c r="K347" s="103" t="e">
        <f t="shared" ca="1" si="61"/>
        <v>#REF!</v>
      </c>
      <c r="L347" s="103" t="e">
        <f t="shared" ca="1" si="62"/>
        <v>#REF!</v>
      </c>
      <c r="M347" s="103" t="e">
        <f t="shared" ca="1" si="63"/>
        <v>#REF!</v>
      </c>
      <c r="N347" s="104" t="e">
        <f t="shared" ca="1" si="64"/>
        <v>#REF!</v>
      </c>
    </row>
    <row r="348" spans="1:14">
      <c r="A348" s="96">
        <v>310</v>
      </c>
      <c r="B348" s="102" t="e">
        <f t="shared" ca="1" si="52"/>
        <v>#REF!</v>
      </c>
      <c r="C348" s="102" t="e">
        <f t="shared" ca="1" si="53"/>
        <v>#REF!</v>
      </c>
      <c r="D348" s="102" t="e">
        <f t="shared" ca="1" si="54"/>
        <v>#REF!</v>
      </c>
      <c r="E348" s="102" t="e">
        <f t="shared" ca="1" si="55"/>
        <v>#REF!</v>
      </c>
      <c r="F348" s="102" t="e">
        <f t="shared" ca="1" si="56"/>
        <v>#REF!</v>
      </c>
      <c r="G348" s="103">
        <f t="shared" ca="1" si="57"/>
        <v>0.41874791264523814</v>
      </c>
      <c r="H348" s="103">
        <f t="shared" ca="1" si="58"/>
        <v>0.19402716453906232</v>
      </c>
      <c r="I348" s="103" t="e">
        <f t="shared" ca="1" si="59"/>
        <v>#REF!</v>
      </c>
      <c r="J348" s="103" t="e">
        <f t="shared" ca="1" si="60"/>
        <v>#REF!</v>
      </c>
      <c r="K348" s="103" t="e">
        <f t="shared" ca="1" si="61"/>
        <v>#REF!</v>
      </c>
      <c r="L348" s="103" t="e">
        <f t="shared" ca="1" si="62"/>
        <v>#REF!</v>
      </c>
      <c r="M348" s="103" t="e">
        <f t="shared" ca="1" si="63"/>
        <v>#REF!</v>
      </c>
      <c r="N348" s="104" t="e">
        <f t="shared" ca="1" si="64"/>
        <v>#REF!</v>
      </c>
    </row>
    <row r="349" spans="1:14">
      <c r="A349" s="95">
        <v>311</v>
      </c>
      <c r="B349" s="102" t="e">
        <f t="shared" ca="1" si="52"/>
        <v>#REF!</v>
      </c>
      <c r="C349" s="102" t="e">
        <f t="shared" ca="1" si="53"/>
        <v>#REF!</v>
      </c>
      <c r="D349" s="102" t="e">
        <f t="shared" ca="1" si="54"/>
        <v>#REF!</v>
      </c>
      <c r="E349" s="102" t="e">
        <f t="shared" ca="1" si="55"/>
        <v>#REF!</v>
      </c>
      <c r="F349" s="102" t="e">
        <f t="shared" ca="1" si="56"/>
        <v>#REF!</v>
      </c>
      <c r="G349" s="103">
        <f t="shared" ca="1" si="57"/>
        <v>0.42299876791435032</v>
      </c>
      <c r="H349" s="103">
        <f t="shared" ca="1" si="58"/>
        <v>0.20076655478040853</v>
      </c>
      <c r="I349" s="103" t="e">
        <f t="shared" ca="1" si="59"/>
        <v>#REF!</v>
      </c>
      <c r="J349" s="103" t="e">
        <f t="shared" ca="1" si="60"/>
        <v>#REF!</v>
      </c>
      <c r="K349" s="103" t="e">
        <f t="shared" ca="1" si="61"/>
        <v>#REF!</v>
      </c>
      <c r="L349" s="103" t="e">
        <f t="shared" ca="1" si="62"/>
        <v>#REF!</v>
      </c>
      <c r="M349" s="103" t="e">
        <f t="shared" ca="1" si="63"/>
        <v>#REF!</v>
      </c>
      <c r="N349" s="104" t="e">
        <f t="shared" ca="1" si="64"/>
        <v>#REF!</v>
      </c>
    </row>
    <row r="350" spans="1:14">
      <c r="A350" s="96">
        <v>312</v>
      </c>
      <c r="B350" s="102" t="e">
        <f t="shared" ca="1" si="52"/>
        <v>#REF!</v>
      </c>
      <c r="C350" s="102" t="e">
        <f t="shared" ca="1" si="53"/>
        <v>#REF!</v>
      </c>
      <c r="D350" s="102" t="e">
        <f t="shared" ca="1" si="54"/>
        <v>#REF!</v>
      </c>
      <c r="E350" s="102" t="e">
        <f t="shared" ca="1" si="55"/>
        <v>#REF!</v>
      </c>
      <c r="F350" s="102" t="e">
        <f t="shared" ca="1" si="56"/>
        <v>#REF!</v>
      </c>
      <c r="G350" s="103">
        <f t="shared" ca="1" si="57"/>
        <v>0.47076572160784613</v>
      </c>
      <c r="H350" s="103">
        <f t="shared" ca="1" si="58"/>
        <v>0.1959459933917245</v>
      </c>
      <c r="I350" s="103" t="e">
        <f t="shared" ca="1" si="59"/>
        <v>#REF!</v>
      </c>
      <c r="J350" s="103" t="e">
        <f t="shared" ca="1" si="60"/>
        <v>#REF!</v>
      </c>
      <c r="K350" s="103" t="e">
        <f t="shared" ca="1" si="61"/>
        <v>#REF!</v>
      </c>
      <c r="L350" s="103" t="e">
        <f t="shared" ca="1" si="62"/>
        <v>#REF!</v>
      </c>
      <c r="M350" s="103" t="e">
        <f t="shared" ca="1" si="63"/>
        <v>#REF!</v>
      </c>
      <c r="N350" s="104" t="e">
        <f t="shared" ca="1" si="64"/>
        <v>#REF!</v>
      </c>
    </row>
    <row r="351" spans="1:14">
      <c r="A351" s="95">
        <v>313</v>
      </c>
      <c r="B351" s="102" t="e">
        <f t="shared" ca="1" si="52"/>
        <v>#REF!</v>
      </c>
      <c r="C351" s="102" t="e">
        <f t="shared" ca="1" si="53"/>
        <v>#REF!</v>
      </c>
      <c r="D351" s="102" t="e">
        <f t="shared" ca="1" si="54"/>
        <v>#REF!</v>
      </c>
      <c r="E351" s="102" t="e">
        <f t="shared" ca="1" si="55"/>
        <v>#REF!</v>
      </c>
      <c r="F351" s="102" t="e">
        <f t="shared" ca="1" si="56"/>
        <v>#REF!</v>
      </c>
      <c r="G351" s="103">
        <f t="shared" ca="1" si="57"/>
        <v>0.41607039040347149</v>
      </c>
      <c r="H351" s="103">
        <f t="shared" ca="1" si="58"/>
        <v>0.22351211995352271</v>
      </c>
      <c r="I351" s="103" t="e">
        <f t="shared" ca="1" si="59"/>
        <v>#REF!</v>
      </c>
      <c r="J351" s="103" t="e">
        <f t="shared" ca="1" si="60"/>
        <v>#REF!</v>
      </c>
      <c r="K351" s="103" t="e">
        <f t="shared" ca="1" si="61"/>
        <v>#REF!</v>
      </c>
      <c r="L351" s="103" t="e">
        <f t="shared" ca="1" si="62"/>
        <v>#REF!</v>
      </c>
      <c r="M351" s="103" t="e">
        <f t="shared" ca="1" si="63"/>
        <v>#REF!</v>
      </c>
      <c r="N351" s="104" t="e">
        <f t="shared" ca="1" si="64"/>
        <v>#REF!</v>
      </c>
    </row>
    <row r="352" spans="1:14">
      <c r="A352" s="96">
        <v>314</v>
      </c>
      <c r="B352" s="102" t="e">
        <f t="shared" ca="1" si="52"/>
        <v>#REF!</v>
      </c>
      <c r="C352" s="102" t="e">
        <f t="shared" ca="1" si="53"/>
        <v>#REF!</v>
      </c>
      <c r="D352" s="102" t="e">
        <f t="shared" ca="1" si="54"/>
        <v>#REF!</v>
      </c>
      <c r="E352" s="102" t="e">
        <f t="shared" ca="1" si="55"/>
        <v>#REF!</v>
      </c>
      <c r="F352" s="102" t="e">
        <f t="shared" ca="1" si="56"/>
        <v>#REF!</v>
      </c>
      <c r="G352" s="103">
        <f t="shared" ca="1" si="57"/>
        <v>0.40331538644995307</v>
      </c>
      <c r="H352" s="103">
        <f t="shared" ca="1" si="58"/>
        <v>0.20896249174962012</v>
      </c>
      <c r="I352" s="103" t="e">
        <f t="shared" ca="1" si="59"/>
        <v>#REF!</v>
      </c>
      <c r="J352" s="103" t="e">
        <f t="shared" ca="1" si="60"/>
        <v>#REF!</v>
      </c>
      <c r="K352" s="103" t="e">
        <f t="shared" ca="1" si="61"/>
        <v>#REF!</v>
      </c>
      <c r="L352" s="103" t="e">
        <f t="shared" ca="1" si="62"/>
        <v>#REF!</v>
      </c>
      <c r="M352" s="103" t="e">
        <f t="shared" ca="1" si="63"/>
        <v>#REF!</v>
      </c>
      <c r="N352" s="104" t="e">
        <f t="shared" ca="1" si="64"/>
        <v>#REF!</v>
      </c>
    </row>
    <row r="353" spans="1:14">
      <c r="A353" s="95">
        <v>315</v>
      </c>
      <c r="B353" s="102" t="e">
        <f t="shared" ca="1" si="52"/>
        <v>#REF!</v>
      </c>
      <c r="C353" s="102" t="e">
        <f t="shared" ca="1" si="53"/>
        <v>#REF!</v>
      </c>
      <c r="D353" s="102" t="e">
        <f t="shared" ca="1" si="54"/>
        <v>#REF!</v>
      </c>
      <c r="E353" s="102" t="e">
        <f t="shared" ca="1" si="55"/>
        <v>#REF!</v>
      </c>
      <c r="F353" s="102" t="e">
        <f t="shared" ca="1" si="56"/>
        <v>#REF!</v>
      </c>
      <c r="G353" s="103">
        <f t="shared" ca="1" si="57"/>
        <v>0.42136286122894057</v>
      </c>
      <c r="H353" s="103">
        <f t="shared" ca="1" si="58"/>
        <v>0.21113750777091378</v>
      </c>
      <c r="I353" s="103" t="e">
        <f t="shared" ca="1" si="59"/>
        <v>#REF!</v>
      </c>
      <c r="J353" s="103" t="e">
        <f t="shared" ca="1" si="60"/>
        <v>#REF!</v>
      </c>
      <c r="K353" s="103" t="e">
        <f t="shared" ca="1" si="61"/>
        <v>#REF!</v>
      </c>
      <c r="L353" s="103" t="e">
        <f t="shared" ca="1" si="62"/>
        <v>#REF!</v>
      </c>
      <c r="M353" s="103" t="e">
        <f t="shared" ca="1" si="63"/>
        <v>#REF!</v>
      </c>
      <c r="N353" s="104" t="e">
        <f t="shared" ca="1" si="64"/>
        <v>#REF!</v>
      </c>
    </row>
    <row r="354" spans="1:14">
      <c r="A354" s="96">
        <v>316</v>
      </c>
      <c r="B354" s="102" t="e">
        <f t="shared" ca="1" si="52"/>
        <v>#REF!</v>
      </c>
      <c r="C354" s="102" t="e">
        <f t="shared" ca="1" si="53"/>
        <v>#REF!</v>
      </c>
      <c r="D354" s="102" t="e">
        <f t="shared" ca="1" si="54"/>
        <v>#REF!</v>
      </c>
      <c r="E354" s="102" t="e">
        <f t="shared" ca="1" si="55"/>
        <v>#REF!</v>
      </c>
      <c r="F354" s="102" t="e">
        <f t="shared" ca="1" si="56"/>
        <v>#REF!</v>
      </c>
      <c r="G354" s="103">
        <f t="shared" ca="1" si="57"/>
        <v>0.41555968256186104</v>
      </c>
      <c r="H354" s="103">
        <f t="shared" ca="1" si="58"/>
        <v>0.18837095846939414</v>
      </c>
      <c r="I354" s="103" t="e">
        <f t="shared" ca="1" si="59"/>
        <v>#REF!</v>
      </c>
      <c r="J354" s="103" t="e">
        <f t="shared" ca="1" si="60"/>
        <v>#REF!</v>
      </c>
      <c r="K354" s="103" t="e">
        <f t="shared" ca="1" si="61"/>
        <v>#REF!</v>
      </c>
      <c r="L354" s="103" t="e">
        <f t="shared" ca="1" si="62"/>
        <v>#REF!</v>
      </c>
      <c r="M354" s="103" t="e">
        <f t="shared" ca="1" si="63"/>
        <v>#REF!</v>
      </c>
      <c r="N354" s="104" t="e">
        <f t="shared" ca="1" si="64"/>
        <v>#REF!</v>
      </c>
    </row>
    <row r="355" spans="1:14">
      <c r="A355" s="95">
        <v>317</v>
      </c>
      <c r="B355" s="102" t="e">
        <f t="shared" ca="1" si="52"/>
        <v>#REF!</v>
      </c>
      <c r="C355" s="102" t="e">
        <f t="shared" ca="1" si="53"/>
        <v>#REF!</v>
      </c>
      <c r="D355" s="102" t="e">
        <f t="shared" ca="1" si="54"/>
        <v>#REF!</v>
      </c>
      <c r="E355" s="102" t="e">
        <f t="shared" ca="1" si="55"/>
        <v>#REF!</v>
      </c>
      <c r="F355" s="102" t="e">
        <f t="shared" ca="1" si="56"/>
        <v>#REF!</v>
      </c>
      <c r="G355" s="103">
        <f t="shared" ca="1" si="57"/>
        <v>0.40871442884468367</v>
      </c>
      <c r="H355" s="103">
        <f t="shared" ca="1" si="58"/>
        <v>0.20589876587302489</v>
      </c>
      <c r="I355" s="103" t="e">
        <f t="shared" ca="1" si="59"/>
        <v>#REF!</v>
      </c>
      <c r="J355" s="103" t="e">
        <f t="shared" ca="1" si="60"/>
        <v>#REF!</v>
      </c>
      <c r="K355" s="103" t="e">
        <f t="shared" ca="1" si="61"/>
        <v>#REF!</v>
      </c>
      <c r="L355" s="103" t="e">
        <f t="shared" ca="1" si="62"/>
        <v>#REF!</v>
      </c>
      <c r="M355" s="103" t="e">
        <f t="shared" ca="1" si="63"/>
        <v>#REF!</v>
      </c>
      <c r="N355" s="104" t="e">
        <f t="shared" ca="1" si="64"/>
        <v>#REF!</v>
      </c>
    </row>
    <row r="356" spans="1:14">
      <c r="A356" s="96">
        <v>318</v>
      </c>
      <c r="B356" s="102" t="e">
        <f t="shared" ca="1" si="52"/>
        <v>#REF!</v>
      </c>
      <c r="C356" s="102" t="e">
        <f t="shared" ca="1" si="53"/>
        <v>#REF!</v>
      </c>
      <c r="D356" s="102" t="e">
        <f t="shared" ca="1" si="54"/>
        <v>#REF!</v>
      </c>
      <c r="E356" s="102" t="e">
        <f t="shared" ca="1" si="55"/>
        <v>#REF!</v>
      </c>
      <c r="F356" s="102" t="e">
        <f t="shared" ca="1" si="56"/>
        <v>#REF!</v>
      </c>
      <c r="G356" s="103">
        <f t="shared" ca="1" si="57"/>
        <v>0.46800898668850516</v>
      </c>
      <c r="H356" s="103">
        <f t="shared" ca="1" si="58"/>
        <v>0.199759967122355</v>
      </c>
      <c r="I356" s="103" t="e">
        <f t="shared" ca="1" si="59"/>
        <v>#REF!</v>
      </c>
      <c r="J356" s="103" t="e">
        <f t="shared" ca="1" si="60"/>
        <v>#REF!</v>
      </c>
      <c r="K356" s="103" t="e">
        <f t="shared" ca="1" si="61"/>
        <v>#REF!</v>
      </c>
      <c r="L356" s="103" t="e">
        <f t="shared" ca="1" si="62"/>
        <v>#REF!</v>
      </c>
      <c r="M356" s="103" t="e">
        <f t="shared" ca="1" si="63"/>
        <v>#REF!</v>
      </c>
      <c r="N356" s="104" t="e">
        <f t="shared" ca="1" si="64"/>
        <v>#REF!</v>
      </c>
    </row>
    <row r="357" spans="1:14">
      <c r="A357" s="95">
        <v>319</v>
      </c>
      <c r="B357" s="102" t="e">
        <f t="shared" ca="1" si="52"/>
        <v>#REF!</v>
      </c>
      <c r="C357" s="102" t="e">
        <f t="shared" ca="1" si="53"/>
        <v>#REF!</v>
      </c>
      <c r="D357" s="102" t="e">
        <f t="shared" ca="1" si="54"/>
        <v>#REF!</v>
      </c>
      <c r="E357" s="102" t="e">
        <f t="shared" ca="1" si="55"/>
        <v>#REF!</v>
      </c>
      <c r="F357" s="102" t="e">
        <f t="shared" ca="1" si="56"/>
        <v>#REF!</v>
      </c>
      <c r="G357" s="103">
        <f t="shared" ca="1" si="57"/>
        <v>0.46613253864349657</v>
      </c>
      <c r="H357" s="103">
        <f t="shared" ca="1" si="58"/>
        <v>0.20081320700805333</v>
      </c>
      <c r="I357" s="103" t="e">
        <f t="shared" ca="1" si="59"/>
        <v>#REF!</v>
      </c>
      <c r="J357" s="103" t="e">
        <f t="shared" ca="1" si="60"/>
        <v>#REF!</v>
      </c>
      <c r="K357" s="103" t="e">
        <f t="shared" ca="1" si="61"/>
        <v>#REF!</v>
      </c>
      <c r="L357" s="103" t="e">
        <f t="shared" ca="1" si="62"/>
        <v>#REF!</v>
      </c>
      <c r="M357" s="103" t="e">
        <f t="shared" ca="1" si="63"/>
        <v>#REF!</v>
      </c>
      <c r="N357" s="104" t="e">
        <f t="shared" ca="1" si="64"/>
        <v>#REF!</v>
      </c>
    </row>
    <row r="358" spans="1:14">
      <c r="A358" s="96">
        <v>320</v>
      </c>
      <c r="B358" s="102" t="e">
        <f t="shared" ca="1" si="52"/>
        <v>#REF!</v>
      </c>
      <c r="C358" s="102" t="e">
        <f t="shared" ca="1" si="53"/>
        <v>#REF!</v>
      </c>
      <c r="D358" s="102" t="e">
        <f t="shared" ca="1" si="54"/>
        <v>#REF!</v>
      </c>
      <c r="E358" s="102" t="e">
        <f t="shared" ca="1" si="55"/>
        <v>#REF!</v>
      </c>
      <c r="F358" s="102" t="e">
        <f t="shared" ca="1" si="56"/>
        <v>#REF!</v>
      </c>
      <c r="G358" s="103">
        <f t="shared" ca="1" si="57"/>
        <v>0.40357780053681441</v>
      </c>
      <c r="H358" s="103">
        <f t="shared" ca="1" si="58"/>
        <v>0.19528108276235004</v>
      </c>
      <c r="I358" s="103" t="e">
        <f t="shared" ca="1" si="59"/>
        <v>#REF!</v>
      </c>
      <c r="J358" s="103" t="e">
        <f t="shared" ca="1" si="60"/>
        <v>#REF!</v>
      </c>
      <c r="K358" s="103" t="e">
        <f t="shared" ca="1" si="61"/>
        <v>#REF!</v>
      </c>
      <c r="L358" s="103" t="e">
        <f t="shared" ca="1" si="62"/>
        <v>#REF!</v>
      </c>
      <c r="M358" s="103" t="e">
        <f t="shared" ca="1" si="63"/>
        <v>#REF!</v>
      </c>
      <c r="N358" s="104" t="e">
        <f t="shared" ca="1" si="64"/>
        <v>#REF!</v>
      </c>
    </row>
    <row r="359" spans="1:14">
      <c r="A359" s="95">
        <v>321</v>
      </c>
      <c r="B359" s="102" t="e">
        <f t="shared" ca="1" si="52"/>
        <v>#REF!</v>
      </c>
      <c r="C359" s="102" t="e">
        <f t="shared" ca="1" si="53"/>
        <v>#REF!</v>
      </c>
      <c r="D359" s="102" t="e">
        <f t="shared" ca="1" si="54"/>
        <v>#REF!</v>
      </c>
      <c r="E359" s="102" t="e">
        <f t="shared" ca="1" si="55"/>
        <v>#REF!</v>
      </c>
      <c r="F359" s="102" t="e">
        <f t="shared" ca="1" si="56"/>
        <v>#REF!</v>
      </c>
      <c r="G359" s="103">
        <f t="shared" ca="1" si="57"/>
        <v>0.39390696849704415</v>
      </c>
      <c r="H359" s="103">
        <f t="shared" ca="1" si="58"/>
        <v>0.20469278841721208</v>
      </c>
      <c r="I359" s="103" t="e">
        <f t="shared" ca="1" si="59"/>
        <v>#REF!</v>
      </c>
      <c r="J359" s="103" t="e">
        <f t="shared" ca="1" si="60"/>
        <v>#REF!</v>
      </c>
      <c r="K359" s="103" t="e">
        <f t="shared" ca="1" si="61"/>
        <v>#REF!</v>
      </c>
      <c r="L359" s="103" t="e">
        <f t="shared" ca="1" si="62"/>
        <v>#REF!</v>
      </c>
      <c r="M359" s="103" t="e">
        <f t="shared" ca="1" si="63"/>
        <v>#REF!</v>
      </c>
      <c r="N359" s="104" t="e">
        <f t="shared" ca="1" si="64"/>
        <v>#REF!</v>
      </c>
    </row>
    <row r="360" spans="1:14">
      <c r="A360" s="96">
        <v>322</v>
      </c>
      <c r="B360" s="102" t="e">
        <f t="shared" ref="B360:B423" ca="1" si="65">_xlfn.LOGNORM.INV(RAND(),$D$5,$E$5)</f>
        <v>#REF!</v>
      </c>
      <c r="C360" s="102" t="e">
        <f t="shared" ref="C360:C423" ca="1" si="66">_xlfn.LOGNORM.INV(RAND(),$D$6,$E$6)</f>
        <v>#REF!</v>
      </c>
      <c r="D360" s="102" t="e">
        <f t="shared" ref="D360:D423" ca="1" si="67">_xlfn.LOGNORM.INV(RAND(),$D$7,$E$7)</f>
        <v>#REF!</v>
      </c>
      <c r="E360" s="102" t="e">
        <f t="shared" ref="E360:E423" ca="1" si="68">_xlfn.LOGNORM.INV(RAND(),$D$8,$E$8)</f>
        <v>#REF!</v>
      </c>
      <c r="F360" s="102" t="e">
        <f t="shared" ref="F360:F423" ca="1" si="69">_xlfn.LOGNORM.INV(RAND(),$D$9,$E$9)</f>
        <v>#REF!</v>
      </c>
      <c r="G360" s="103">
        <f t="shared" ref="G360:G423" ca="1" si="70">_xlfn.NORM.INV(RAND(),$B$12,$C$12)</f>
        <v>0.45502394288496906</v>
      </c>
      <c r="H360" s="103">
        <f t="shared" ref="H360:H423" ca="1" si="71">_xlfn.NORM.INV(RAND(),$B$13,$C$13)</f>
        <v>0.22046938284449244</v>
      </c>
      <c r="I360" s="103" t="e">
        <f t="shared" ref="I360:I423" ca="1" si="72">G360*($E$16/24)+H360*(1-$E$16/24)</f>
        <v>#REF!</v>
      </c>
      <c r="J360" s="103" t="e">
        <f t="shared" ref="J360:J423" ca="1" si="73">G360*($E$17/24)+H360*(1-$E$17/24)</f>
        <v>#REF!</v>
      </c>
      <c r="K360" s="103" t="e">
        <f t="shared" ref="K360:K423" ca="1" si="74">G360*($E$18/24)+H360*(1-$E$18/24)</f>
        <v>#REF!</v>
      </c>
      <c r="L360" s="103" t="e">
        <f t="shared" ref="L360:L423" ca="1" si="75">G360*($E$19/24)+H360*(1-$E$19/24)</f>
        <v>#REF!</v>
      </c>
      <c r="M360" s="103" t="e">
        <f t="shared" ref="M360:M423" ca="1" si="76">G360*($E$20/24)+H360*(1-$E$20/24)</f>
        <v>#REF!</v>
      </c>
      <c r="N360" s="104" t="e">
        <f t="shared" ref="N360:N423" ca="1" si="77">B360*$B$16+C360*$B$17+D360*$B$18+E360*$B$19+F360*$B$20-($C$16*$D$16*I360+$C$17*$D$17*J360+$C$18*$D$18*K360+$C$19*$D$19*L360+$C$20*$D$20*M360)</f>
        <v>#REF!</v>
      </c>
    </row>
    <row r="361" spans="1:14">
      <c r="A361" s="95">
        <v>323</v>
      </c>
      <c r="B361" s="102" t="e">
        <f t="shared" ca="1" si="65"/>
        <v>#REF!</v>
      </c>
      <c r="C361" s="102" t="e">
        <f t="shared" ca="1" si="66"/>
        <v>#REF!</v>
      </c>
      <c r="D361" s="102" t="e">
        <f t="shared" ca="1" si="67"/>
        <v>#REF!</v>
      </c>
      <c r="E361" s="102" t="e">
        <f t="shared" ca="1" si="68"/>
        <v>#REF!</v>
      </c>
      <c r="F361" s="102" t="e">
        <f t="shared" ca="1" si="69"/>
        <v>#REF!</v>
      </c>
      <c r="G361" s="103">
        <f t="shared" ca="1" si="70"/>
        <v>0.42482396975025927</v>
      </c>
      <c r="H361" s="103">
        <f t="shared" ca="1" si="71"/>
        <v>0.21016801398024629</v>
      </c>
      <c r="I361" s="103" t="e">
        <f t="shared" ca="1" si="72"/>
        <v>#REF!</v>
      </c>
      <c r="J361" s="103" t="e">
        <f t="shared" ca="1" si="73"/>
        <v>#REF!</v>
      </c>
      <c r="K361" s="103" t="e">
        <f t="shared" ca="1" si="74"/>
        <v>#REF!</v>
      </c>
      <c r="L361" s="103" t="e">
        <f t="shared" ca="1" si="75"/>
        <v>#REF!</v>
      </c>
      <c r="M361" s="103" t="e">
        <f t="shared" ca="1" si="76"/>
        <v>#REF!</v>
      </c>
      <c r="N361" s="104" t="e">
        <f t="shared" ca="1" si="77"/>
        <v>#REF!</v>
      </c>
    </row>
    <row r="362" spans="1:14">
      <c r="A362" s="96">
        <v>324</v>
      </c>
      <c r="B362" s="102" t="e">
        <f t="shared" ca="1" si="65"/>
        <v>#REF!</v>
      </c>
      <c r="C362" s="102" t="e">
        <f t="shared" ca="1" si="66"/>
        <v>#REF!</v>
      </c>
      <c r="D362" s="102" t="e">
        <f t="shared" ca="1" si="67"/>
        <v>#REF!</v>
      </c>
      <c r="E362" s="102" t="e">
        <f t="shared" ca="1" si="68"/>
        <v>#REF!</v>
      </c>
      <c r="F362" s="102" t="e">
        <f t="shared" ca="1" si="69"/>
        <v>#REF!</v>
      </c>
      <c r="G362" s="103">
        <f t="shared" ca="1" si="70"/>
        <v>0.42407824857092757</v>
      </c>
      <c r="H362" s="103">
        <f t="shared" ca="1" si="71"/>
        <v>0.19164678898039494</v>
      </c>
      <c r="I362" s="103" t="e">
        <f t="shared" ca="1" si="72"/>
        <v>#REF!</v>
      </c>
      <c r="J362" s="103" t="e">
        <f t="shared" ca="1" si="73"/>
        <v>#REF!</v>
      </c>
      <c r="K362" s="103" t="e">
        <f t="shared" ca="1" si="74"/>
        <v>#REF!</v>
      </c>
      <c r="L362" s="103" t="e">
        <f t="shared" ca="1" si="75"/>
        <v>#REF!</v>
      </c>
      <c r="M362" s="103" t="e">
        <f t="shared" ca="1" si="76"/>
        <v>#REF!</v>
      </c>
      <c r="N362" s="104" t="e">
        <f t="shared" ca="1" si="77"/>
        <v>#REF!</v>
      </c>
    </row>
    <row r="363" spans="1:14">
      <c r="A363" s="95">
        <v>325</v>
      </c>
      <c r="B363" s="102" t="e">
        <f t="shared" ca="1" si="65"/>
        <v>#REF!</v>
      </c>
      <c r="C363" s="102" t="e">
        <f t="shared" ca="1" si="66"/>
        <v>#REF!</v>
      </c>
      <c r="D363" s="102" t="e">
        <f t="shared" ca="1" si="67"/>
        <v>#REF!</v>
      </c>
      <c r="E363" s="102" t="e">
        <f t="shared" ca="1" si="68"/>
        <v>#REF!</v>
      </c>
      <c r="F363" s="102" t="e">
        <f t="shared" ca="1" si="69"/>
        <v>#REF!</v>
      </c>
      <c r="G363" s="103">
        <f t="shared" ca="1" si="70"/>
        <v>0.41112473883494383</v>
      </c>
      <c r="H363" s="103">
        <f t="shared" ca="1" si="71"/>
        <v>0.21416601972921578</v>
      </c>
      <c r="I363" s="103" t="e">
        <f t="shared" ca="1" si="72"/>
        <v>#REF!</v>
      </c>
      <c r="J363" s="103" t="e">
        <f t="shared" ca="1" si="73"/>
        <v>#REF!</v>
      </c>
      <c r="K363" s="103" t="e">
        <f t="shared" ca="1" si="74"/>
        <v>#REF!</v>
      </c>
      <c r="L363" s="103" t="e">
        <f t="shared" ca="1" si="75"/>
        <v>#REF!</v>
      </c>
      <c r="M363" s="103" t="e">
        <f t="shared" ca="1" si="76"/>
        <v>#REF!</v>
      </c>
      <c r="N363" s="104" t="e">
        <f t="shared" ca="1" si="77"/>
        <v>#REF!</v>
      </c>
    </row>
    <row r="364" spans="1:14">
      <c r="A364" s="96">
        <v>326</v>
      </c>
      <c r="B364" s="102" t="e">
        <f t="shared" ca="1" si="65"/>
        <v>#REF!</v>
      </c>
      <c r="C364" s="102" t="e">
        <f t="shared" ca="1" si="66"/>
        <v>#REF!</v>
      </c>
      <c r="D364" s="102" t="e">
        <f t="shared" ca="1" si="67"/>
        <v>#REF!</v>
      </c>
      <c r="E364" s="102" t="e">
        <f t="shared" ca="1" si="68"/>
        <v>#REF!</v>
      </c>
      <c r="F364" s="102" t="e">
        <f t="shared" ca="1" si="69"/>
        <v>#REF!</v>
      </c>
      <c r="G364" s="103">
        <f t="shared" ca="1" si="70"/>
        <v>0.46317774510369059</v>
      </c>
      <c r="H364" s="103">
        <f t="shared" ca="1" si="71"/>
        <v>0.19236466127228027</v>
      </c>
      <c r="I364" s="103" t="e">
        <f t="shared" ca="1" si="72"/>
        <v>#REF!</v>
      </c>
      <c r="J364" s="103" t="e">
        <f t="shared" ca="1" si="73"/>
        <v>#REF!</v>
      </c>
      <c r="K364" s="103" t="e">
        <f t="shared" ca="1" si="74"/>
        <v>#REF!</v>
      </c>
      <c r="L364" s="103" t="e">
        <f t="shared" ca="1" si="75"/>
        <v>#REF!</v>
      </c>
      <c r="M364" s="103" t="e">
        <f t="shared" ca="1" si="76"/>
        <v>#REF!</v>
      </c>
      <c r="N364" s="104" t="e">
        <f t="shared" ca="1" si="77"/>
        <v>#REF!</v>
      </c>
    </row>
    <row r="365" spans="1:14">
      <c r="A365" s="95">
        <v>327</v>
      </c>
      <c r="B365" s="102" t="e">
        <f t="shared" ca="1" si="65"/>
        <v>#REF!</v>
      </c>
      <c r="C365" s="102" t="e">
        <f t="shared" ca="1" si="66"/>
        <v>#REF!</v>
      </c>
      <c r="D365" s="102" t="e">
        <f t="shared" ca="1" si="67"/>
        <v>#REF!</v>
      </c>
      <c r="E365" s="102" t="e">
        <f t="shared" ca="1" si="68"/>
        <v>#REF!</v>
      </c>
      <c r="F365" s="102" t="e">
        <f t="shared" ca="1" si="69"/>
        <v>#REF!</v>
      </c>
      <c r="G365" s="103">
        <f t="shared" ca="1" si="70"/>
        <v>0.46513014161295785</v>
      </c>
      <c r="H365" s="103">
        <f t="shared" ca="1" si="71"/>
        <v>0.2009814547760988</v>
      </c>
      <c r="I365" s="103" t="e">
        <f t="shared" ca="1" si="72"/>
        <v>#REF!</v>
      </c>
      <c r="J365" s="103" t="e">
        <f t="shared" ca="1" si="73"/>
        <v>#REF!</v>
      </c>
      <c r="K365" s="103" t="e">
        <f t="shared" ca="1" si="74"/>
        <v>#REF!</v>
      </c>
      <c r="L365" s="103" t="e">
        <f t="shared" ca="1" si="75"/>
        <v>#REF!</v>
      </c>
      <c r="M365" s="103" t="e">
        <f t="shared" ca="1" si="76"/>
        <v>#REF!</v>
      </c>
      <c r="N365" s="104" t="e">
        <f t="shared" ca="1" si="77"/>
        <v>#REF!</v>
      </c>
    </row>
    <row r="366" spans="1:14">
      <c r="A366" s="96">
        <v>328</v>
      </c>
      <c r="B366" s="102" t="e">
        <f t="shared" ca="1" si="65"/>
        <v>#REF!</v>
      </c>
      <c r="C366" s="102" t="e">
        <f t="shared" ca="1" si="66"/>
        <v>#REF!</v>
      </c>
      <c r="D366" s="102" t="e">
        <f t="shared" ca="1" si="67"/>
        <v>#REF!</v>
      </c>
      <c r="E366" s="102" t="e">
        <f t="shared" ca="1" si="68"/>
        <v>#REF!</v>
      </c>
      <c r="F366" s="102" t="e">
        <f t="shared" ca="1" si="69"/>
        <v>#REF!</v>
      </c>
      <c r="G366" s="103">
        <f t="shared" ca="1" si="70"/>
        <v>0.39900918434949673</v>
      </c>
      <c r="H366" s="103">
        <f t="shared" ca="1" si="71"/>
        <v>0.19468070217526534</v>
      </c>
      <c r="I366" s="103" t="e">
        <f t="shared" ca="1" si="72"/>
        <v>#REF!</v>
      </c>
      <c r="J366" s="103" t="e">
        <f t="shared" ca="1" si="73"/>
        <v>#REF!</v>
      </c>
      <c r="K366" s="103" t="e">
        <f t="shared" ca="1" si="74"/>
        <v>#REF!</v>
      </c>
      <c r="L366" s="103" t="e">
        <f t="shared" ca="1" si="75"/>
        <v>#REF!</v>
      </c>
      <c r="M366" s="103" t="e">
        <f t="shared" ca="1" si="76"/>
        <v>#REF!</v>
      </c>
      <c r="N366" s="104" t="e">
        <f t="shared" ca="1" si="77"/>
        <v>#REF!</v>
      </c>
    </row>
    <row r="367" spans="1:14">
      <c r="A367" s="95">
        <v>329</v>
      </c>
      <c r="B367" s="102" t="e">
        <f t="shared" ca="1" si="65"/>
        <v>#REF!</v>
      </c>
      <c r="C367" s="102" t="e">
        <f t="shared" ca="1" si="66"/>
        <v>#REF!</v>
      </c>
      <c r="D367" s="102" t="e">
        <f t="shared" ca="1" si="67"/>
        <v>#REF!</v>
      </c>
      <c r="E367" s="102" t="e">
        <f t="shared" ca="1" si="68"/>
        <v>#REF!</v>
      </c>
      <c r="F367" s="102" t="e">
        <f t="shared" ca="1" si="69"/>
        <v>#REF!</v>
      </c>
      <c r="G367" s="103">
        <f t="shared" ca="1" si="70"/>
        <v>0.47454816251030363</v>
      </c>
      <c r="H367" s="103">
        <f t="shared" ca="1" si="71"/>
        <v>0.20218310008583229</v>
      </c>
      <c r="I367" s="103" t="e">
        <f t="shared" ca="1" si="72"/>
        <v>#REF!</v>
      </c>
      <c r="J367" s="103" t="e">
        <f t="shared" ca="1" si="73"/>
        <v>#REF!</v>
      </c>
      <c r="K367" s="103" t="e">
        <f t="shared" ca="1" si="74"/>
        <v>#REF!</v>
      </c>
      <c r="L367" s="103" t="e">
        <f t="shared" ca="1" si="75"/>
        <v>#REF!</v>
      </c>
      <c r="M367" s="103" t="e">
        <f t="shared" ca="1" si="76"/>
        <v>#REF!</v>
      </c>
      <c r="N367" s="104" t="e">
        <f t="shared" ca="1" si="77"/>
        <v>#REF!</v>
      </c>
    </row>
    <row r="368" spans="1:14">
      <c r="A368" s="96">
        <v>330</v>
      </c>
      <c r="B368" s="102" t="e">
        <f t="shared" ca="1" si="65"/>
        <v>#REF!</v>
      </c>
      <c r="C368" s="102" t="e">
        <f t="shared" ca="1" si="66"/>
        <v>#REF!</v>
      </c>
      <c r="D368" s="102" t="e">
        <f t="shared" ca="1" si="67"/>
        <v>#REF!</v>
      </c>
      <c r="E368" s="102" t="e">
        <f t="shared" ca="1" si="68"/>
        <v>#REF!</v>
      </c>
      <c r="F368" s="102" t="e">
        <f t="shared" ca="1" si="69"/>
        <v>#REF!</v>
      </c>
      <c r="G368" s="103">
        <f t="shared" ca="1" si="70"/>
        <v>0.43934527854482247</v>
      </c>
      <c r="H368" s="103">
        <f t="shared" ca="1" si="71"/>
        <v>0.1949406942866265</v>
      </c>
      <c r="I368" s="103" t="e">
        <f t="shared" ca="1" si="72"/>
        <v>#REF!</v>
      </c>
      <c r="J368" s="103" t="e">
        <f t="shared" ca="1" si="73"/>
        <v>#REF!</v>
      </c>
      <c r="K368" s="103" t="e">
        <f t="shared" ca="1" si="74"/>
        <v>#REF!</v>
      </c>
      <c r="L368" s="103" t="e">
        <f t="shared" ca="1" si="75"/>
        <v>#REF!</v>
      </c>
      <c r="M368" s="103" t="e">
        <f t="shared" ca="1" si="76"/>
        <v>#REF!</v>
      </c>
      <c r="N368" s="104" t="e">
        <f t="shared" ca="1" si="77"/>
        <v>#REF!</v>
      </c>
    </row>
    <row r="369" spans="1:14">
      <c r="A369" s="95">
        <v>331</v>
      </c>
      <c r="B369" s="102" t="e">
        <f t="shared" ca="1" si="65"/>
        <v>#REF!</v>
      </c>
      <c r="C369" s="102" t="e">
        <f t="shared" ca="1" si="66"/>
        <v>#REF!</v>
      </c>
      <c r="D369" s="102" t="e">
        <f t="shared" ca="1" si="67"/>
        <v>#REF!</v>
      </c>
      <c r="E369" s="102" t="e">
        <f t="shared" ca="1" si="68"/>
        <v>#REF!</v>
      </c>
      <c r="F369" s="102" t="e">
        <f t="shared" ca="1" si="69"/>
        <v>#REF!</v>
      </c>
      <c r="G369" s="103">
        <f t="shared" ca="1" si="70"/>
        <v>0.46019711414026376</v>
      </c>
      <c r="H369" s="103">
        <f t="shared" ca="1" si="71"/>
        <v>0.18112293187364803</v>
      </c>
      <c r="I369" s="103" t="e">
        <f t="shared" ca="1" si="72"/>
        <v>#REF!</v>
      </c>
      <c r="J369" s="103" t="e">
        <f t="shared" ca="1" si="73"/>
        <v>#REF!</v>
      </c>
      <c r="K369" s="103" t="e">
        <f t="shared" ca="1" si="74"/>
        <v>#REF!</v>
      </c>
      <c r="L369" s="103" t="e">
        <f t="shared" ca="1" si="75"/>
        <v>#REF!</v>
      </c>
      <c r="M369" s="103" t="e">
        <f t="shared" ca="1" si="76"/>
        <v>#REF!</v>
      </c>
      <c r="N369" s="104" t="e">
        <f t="shared" ca="1" si="77"/>
        <v>#REF!</v>
      </c>
    </row>
    <row r="370" spans="1:14">
      <c r="A370" s="96">
        <v>332</v>
      </c>
      <c r="B370" s="102" t="e">
        <f t="shared" ca="1" si="65"/>
        <v>#REF!</v>
      </c>
      <c r="C370" s="102" t="e">
        <f t="shared" ca="1" si="66"/>
        <v>#REF!</v>
      </c>
      <c r="D370" s="102" t="e">
        <f t="shared" ca="1" si="67"/>
        <v>#REF!</v>
      </c>
      <c r="E370" s="102" t="e">
        <f t="shared" ca="1" si="68"/>
        <v>#REF!</v>
      </c>
      <c r="F370" s="102" t="e">
        <f t="shared" ca="1" si="69"/>
        <v>#REF!</v>
      </c>
      <c r="G370" s="103">
        <f t="shared" ca="1" si="70"/>
        <v>0.47429499827631694</v>
      </c>
      <c r="H370" s="103">
        <f t="shared" ca="1" si="71"/>
        <v>0.17701796479430779</v>
      </c>
      <c r="I370" s="103" t="e">
        <f t="shared" ca="1" si="72"/>
        <v>#REF!</v>
      </c>
      <c r="J370" s="103" t="e">
        <f t="shared" ca="1" si="73"/>
        <v>#REF!</v>
      </c>
      <c r="K370" s="103" t="e">
        <f t="shared" ca="1" si="74"/>
        <v>#REF!</v>
      </c>
      <c r="L370" s="103" t="e">
        <f t="shared" ca="1" si="75"/>
        <v>#REF!</v>
      </c>
      <c r="M370" s="103" t="e">
        <f t="shared" ca="1" si="76"/>
        <v>#REF!</v>
      </c>
      <c r="N370" s="104" t="e">
        <f t="shared" ca="1" si="77"/>
        <v>#REF!</v>
      </c>
    </row>
    <row r="371" spans="1:14">
      <c r="A371" s="95">
        <v>333</v>
      </c>
      <c r="B371" s="102" t="e">
        <f t="shared" ca="1" si="65"/>
        <v>#REF!</v>
      </c>
      <c r="C371" s="102" t="e">
        <f t="shared" ca="1" si="66"/>
        <v>#REF!</v>
      </c>
      <c r="D371" s="102" t="e">
        <f t="shared" ca="1" si="67"/>
        <v>#REF!</v>
      </c>
      <c r="E371" s="102" t="e">
        <f t="shared" ca="1" si="68"/>
        <v>#REF!</v>
      </c>
      <c r="F371" s="102" t="e">
        <f t="shared" ca="1" si="69"/>
        <v>#REF!</v>
      </c>
      <c r="G371" s="103">
        <f t="shared" ca="1" si="70"/>
        <v>0.46583506342753922</v>
      </c>
      <c r="H371" s="103">
        <f t="shared" ca="1" si="71"/>
        <v>0.18184047569910264</v>
      </c>
      <c r="I371" s="103" t="e">
        <f t="shared" ca="1" si="72"/>
        <v>#REF!</v>
      </c>
      <c r="J371" s="103" t="e">
        <f t="shared" ca="1" si="73"/>
        <v>#REF!</v>
      </c>
      <c r="K371" s="103" t="e">
        <f t="shared" ca="1" si="74"/>
        <v>#REF!</v>
      </c>
      <c r="L371" s="103" t="e">
        <f t="shared" ca="1" si="75"/>
        <v>#REF!</v>
      </c>
      <c r="M371" s="103" t="e">
        <f t="shared" ca="1" si="76"/>
        <v>#REF!</v>
      </c>
      <c r="N371" s="104" t="e">
        <f t="shared" ca="1" si="77"/>
        <v>#REF!</v>
      </c>
    </row>
    <row r="372" spans="1:14">
      <c r="A372" s="96">
        <v>334</v>
      </c>
      <c r="B372" s="102" t="e">
        <f t="shared" ca="1" si="65"/>
        <v>#REF!</v>
      </c>
      <c r="C372" s="102" t="e">
        <f t="shared" ca="1" si="66"/>
        <v>#REF!</v>
      </c>
      <c r="D372" s="102" t="e">
        <f t="shared" ca="1" si="67"/>
        <v>#REF!</v>
      </c>
      <c r="E372" s="102" t="e">
        <f t="shared" ca="1" si="68"/>
        <v>#REF!</v>
      </c>
      <c r="F372" s="102" t="e">
        <f t="shared" ca="1" si="69"/>
        <v>#REF!</v>
      </c>
      <c r="G372" s="103">
        <f t="shared" ca="1" si="70"/>
        <v>0.46789118415989406</v>
      </c>
      <c r="H372" s="103">
        <f t="shared" ca="1" si="71"/>
        <v>0.20201020865556865</v>
      </c>
      <c r="I372" s="103" t="e">
        <f t="shared" ca="1" si="72"/>
        <v>#REF!</v>
      </c>
      <c r="J372" s="103" t="e">
        <f t="shared" ca="1" si="73"/>
        <v>#REF!</v>
      </c>
      <c r="K372" s="103" t="e">
        <f t="shared" ca="1" si="74"/>
        <v>#REF!</v>
      </c>
      <c r="L372" s="103" t="e">
        <f t="shared" ca="1" si="75"/>
        <v>#REF!</v>
      </c>
      <c r="M372" s="103" t="e">
        <f t="shared" ca="1" si="76"/>
        <v>#REF!</v>
      </c>
      <c r="N372" s="104" t="e">
        <f t="shared" ca="1" si="77"/>
        <v>#REF!</v>
      </c>
    </row>
    <row r="373" spans="1:14">
      <c r="A373" s="95">
        <v>335</v>
      </c>
      <c r="B373" s="102" t="e">
        <f t="shared" ca="1" si="65"/>
        <v>#REF!</v>
      </c>
      <c r="C373" s="102" t="e">
        <f t="shared" ca="1" si="66"/>
        <v>#REF!</v>
      </c>
      <c r="D373" s="102" t="e">
        <f t="shared" ca="1" si="67"/>
        <v>#REF!</v>
      </c>
      <c r="E373" s="102" t="e">
        <f t="shared" ca="1" si="68"/>
        <v>#REF!</v>
      </c>
      <c r="F373" s="102" t="e">
        <f t="shared" ca="1" si="69"/>
        <v>#REF!</v>
      </c>
      <c r="G373" s="103">
        <f t="shared" ca="1" si="70"/>
        <v>0.39739058715241277</v>
      </c>
      <c r="H373" s="103">
        <f t="shared" ca="1" si="71"/>
        <v>0.21127810169619332</v>
      </c>
      <c r="I373" s="103" t="e">
        <f t="shared" ca="1" si="72"/>
        <v>#REF!</v>
      </c>
      <c r="J373" s="103" t="e">
        <f t="shared" ca="1" si="73"/>
        <v>#REF!</v>
      </c>
      <c r="K373" s="103" t="e">
        <f t="shared" ca="1" si="74"/>
        <v>#REF!</v>
      </c>
      <c r="L373" s="103" t="e">
        <f t="shared" ca="1" si="75"/>
        <v>#REF!</v>
      </c>
      <c r="M373" s="103" t="e">
        <f t="shared" ca="1" si="76"/>
        <v>#REF!</v>
      </c>
      <c r="N373" s="104" t="e">
        <f t="shared" ca="1" si="77"/>
        <v>#REF!</v>
      </c>
    </row>
    <row r="374" spans="1:14">
      <c r="A374" s="96">
        <v>336</v>
      </c>
      <c r="B374" s="102" t="e">
        <f t="shared" ca="1" si="65"/>
        <v>#REF!</v>
      </c>
      <c r="C374" s="102" t="e">
        <f t="shared" ca="1" si="66"/>
        <v>#REF!</v>
      </c>
      <c r="D374" s="102" t="e">
        <f t="shared" ca="1" si="67"/>
        <v>#REF!</v>
      </c>
      <c r="E374" s="102" t="e">
        <f t="shared" ca="1" si="68"/>
        <v>#REF!</v>
      </c>
      <c r="F374" s="102" t="e">
        <f t="shared" ca="1" si="69"/>
        <v>#REF!</v>
      </c>
      <c r="G374" s="103">
        <f t="shared" ca="1" si="70"/>
        <v>0.45325833692770728</v>
      </c>
      <c r="H374" s="103">
        <f t="shared" ca="1" si="71"/>
        <v>0.19004254891358285</v>
      </c>
      <c r="I374" s="103" t="e">
        <f t="shared" ca="1" si="72"/>
        <v>#REF!</v>
      </c>
      <c r="J374" s="103" t="e">
        <f t="shared" ca="1" si="73"/>
        <v>#REF!</v>
      </c>
      <c r="K374" s="103" t="e">
        <f t="shared" ca="1" si="74"/>
        <v>#REF!</v>
      </c>
      <c r="L374" s="103" t="e">
        <f t="shared" ca="1" si="75"/>
        <v>#REF!</v>
      </c>
      <c r="M374" s="103" t="e">
        <f t="shared" ca="1" si="76"/>
        <v>#REF!</v>
      </c>
      <c r="N374" s="104" t="e">
        <f t="shared" ca="1" si="77"/>
        <v>#REF!</v>
      </c>
    </row>
    <row r="375" spans="1:14">
      <c r="A375" s="95">
        <v>337</v>
      </c>
      <c r="B375" s="102" t="e">
        <f t="shared" ca="1" si="65"/>
        <v>#REF!</v>
      </c>
      <c r="C375" s="102" t="e">
        <f t="shared" ca="1" si="66"/>
        <v>#REF!</v>
      </c>
      <c r="D375" s="102" t="e">
        <f t="shared" ca="1" si="67"/>
        <v>#REF!</v>
      </c>
      <c r="E375" s="102" t="e">
        <f t="shared" ca="1" si="68"/>
        <v>#REF!</v>
      </c>
      <c r="F375" s="102" t="e">
        <f t="shared" ca="1" si="69"/>
        <v>#REF!</v>
      </c>
      <c r="G375" s="103">
        <f t="shared" ca="1" si="70"/>
        <v>0.49814148982237177</v>
      </c>
      <c r="H375" s="103">
        <f t="shared" ca="1" si="71"/>
        <v>0.20644272749192666</v>
      </c>
      <c r="I375" s="103" t="e">
        <f t="shared" ca="1" si="72"/>
        <v>#REF!</v>
      </c>
      <c r="J375" s="103" t="e">
        <f t="shared" ca="1" si="73"/>
        <v>#REF!</v>
      </c>
      <c r="K375" s="103" t="e">
        <f t="shared" ca="1" si="74"/>
        <v>#REF!</v>
      </c>
      <c r="L375" s="103" t="e">
        <f t="shared" ca="1" si="75"/>
        <v>#REF!</v>
      </c>
      <c r="M375" s="103" t="e">
        <f t="shared" ca="1" si="76"/>
        <v>#REF!</v>
      </c>
      <c r="N375" s="104" t="e">
        <f t="shared" ca="1" si="77"/>
        <v>#REF!</v>
      </c>
    </row>
    <row r="376" spans="1:14">
      <c r="A376" s="96">
        <v>338</v>
      </c>
      <c r="B376" s="102" t="e">
        <f t="shared" ca="1" si="65"/>
        <v>#REF!</v>
      </c>
      <c r="C376" s="102" t="e">
        <f t="shared" ca="1" si="66"/>
        <v>#REF!</v>
      </c>
      <c r="D376" s="102" t="e">
        <f t="shared" ca="1" si="67"/>
        <v>#REF!</v>
      </c>
      <c r="E376" s="102" t="e">
        <f t="shared" ca="1" si="68"/>
        <v>#REF!</v>
      </c>
      <c r="F376" s="102" t="e">
        <f t="shared" ca="1" si="69"/>
        <v>#REF!</v>
      </c>
      <c r="G376" s="103">
        <f t="shared" ca="1" si="70"/>
        <v>0.50971736190398087</v>
      </c>
      <c r="H376" s="103">
        <f t="shared" ca="1" si="71"/>
        <v>0.17452532943633078</v>
      </c>
      <c r="I376" s="103" t="e">
        <f t="shared" ca="1" si="72"/>
        <v>#REF!</v>
      </c>
      <c r="J376" s="103" t="e">
        <f t="shared" ca="1" si="73"/>
        <v>#REF!</v>
      </c>
      <c r="K376" s="103" t="e">
        <f t="shared" ca="1" si="74"/>
        <v>#REF!</v>
      </c>
      <c r="L376" s="103" t="e">
        <f t="shared" ca="1" si="75"/>
        <v>#REF!</v>
      </c>
      <c r="M376" s="103" t="e">
        <f t="shared" ca="1" si="76"/>
        <v>#REF!</v>
      </c>
      <c r="N376" s="104" t="e">
        <f t="shared" ca="1" si="77"/>
        <v>#REF!</v>
      </c>
    </row>
    <row r="377" spans="1:14">
      <c r="A377" s="95">
        <v>339</v>
      </c>
      <c r="B377" s="102" t="e">
        <f t="shared" ca="1" si="65"/>
        <v>#REF!</v>
      </c>
      <c r="C377" s="102" t="e">
        <f t="shared" ca="1" si="66"/>
        <v>#REF!</v>
      </c>
      <c r="D377" s="102" t="e">
        <f t="shared" ca="1" si="67"/>
        <v>#REF!</v>
      </c>
      <c r="E377" s="102" t="e">
        <f t="shared" ca="1" si="68"/>
        <v>#REF!</v>
      </c>
      <c r="F377" s="102" t="e">
        <f t="shared" ca="1" si="69"/>
        <v>#REF!</v>
      </c>
      <c r="G377" s="103">
        <f t="shared" ca="1" si="70"/>
        <v>0.50751654657064371</v>
      </c>
      <c r="H377" s="103">
        <f t="shared" ca="1" si="71"/>
        <v>0.21522103848652646</v>
      </c>
      <c r="I377" s="103" t="e">
        <f t="shared" ca="1" si="72"/>
        <v>#REF!</v>
      </c>
      <c r="J377" s="103" t="e">
        <f t="shared" ca="1" si="73"/>
        <v>#REF!</v>
      </c>
      <c r="K377" s="103" t="e">
        <f t="shared" ca="1" si="74"/>
        <v>#REF!</v>
      </c>
      <c r="L377" s="103" t="e">
        <f t="shared" ca="1" si="75"/>
        <v>#REF!</v>
      </c>
      <c r="M377" s="103" t="e">
        <f t="shared" ca="1" si="76"/>
        <v>#REF!</v>
      </c>
      <c r="N377" s="104" t="e">
        <f t="shared" ca="1" si="77"/>
        <v>#REF!</v>
      </c>
    </row>
    <row r="378" spans="1:14">
      <c r="A378" s="96">
        <v>340</v>
      </c>
      <c r="B378" s="102" t="e">
        <f t="shared" ca="1" si="65"/>
        <v>#REF!</v>
      </c>
      <c r="C378" s="102" t="e">
        <f t="shared" ca="1" si="66"/>
        <v>#REF!</v>
      </c>
      <c r="D378" s="102" t="e">
        <f t="shared" ca="1" si="67"/>
        <v>#REF!</v>
      </c>
      <c r="E378" s="102" t="e">
        <f t="shared" ca="1" si="68"/>
        <v>#REF!</v>
      </c>
      <c r="F378" s="102" t="e">
        <f t="shared" ca="1" si="69"/>
        <v>#REF!</v>
      </c>
      <c r="G378" s="103">
        <f t="shared" ca="1" si="70"/>
        <v>0.4772950777588002</v>
      </c>
      <c r="H378" s="103">
        <f t="shared" ca="1" si="71"/>
        <v>0.19540125616216253</v>
      </c>
      <c r="I378" s="103" t="e">
        <f t="shared" ca="1" si="72"/>
        <v>#REF!</v>
      </c>
      <c r="J378" s="103" t="e">
        <f t="shared" ca="1" si="73"/>
        <v>#REF!</v>
      </c>
      <c r="K378" s="103" t="e">
        <f t="shared" ca="1" si="74"/>
        <v>#REF!</v>
      </c>
      <c r="L378" s="103" t="e">
        <f t="shared" ca="1" si="75"/>
        <v>#REF!</v>
      </c>
      <c r="M378" s="103" t="e">
        <f t="shared" ca="1" si="76"/>
        <v>#REF!</v>
      </c>
      <c r="N378" s="104" t="e">
        <f t="shared" ca="1" si="77"/>
        <v>#REF!</v>
      </c>
    </row>
    <row r="379" spans="1:14">
      <c r="A379" s="95">
        <v>341</v>
      </c>
      <c r="B379" s="102" t="e">
        <f t="shared" ca="1" si="65"/>
        <v>#REF!</v>
      </c>
      <c r="C379" s="102" t="e">
        <f t="shared" ca="1" si="66"/>
        <v>#REF!</v>
      </c>
      <c r="D379" s="102" t="e">
        <f t="shared" ca="1" si="67"/>
        <v>#REF!</v>
      </c>
      <c r="E379" s="102" t="e">
        <f t="shared" ca="1" si="68"/>
        <v>#REF!</v>
      </c>
      <c r="F379" s="102" t="e">
        <f t="shared" ca="1" si="69"/>
        <v>#REF!</v>
      </c>
      <c r="G379" s="103">
        <f t="shared" ca="1" si="70"/>
        <v>0.40374886606719829</v>
      </c>
      <c r="H379" s="103">
        <f t="shared" ca="1" si="71"/>
        <v>0.2013752628772521</v>
      </c>
      <c r="I379" s="103" t="e">
        <f t="shared" ca="1" si="72"/>
        <v>#REF!</v>
      </c>
      <c r="J379" s="103" t="e">
        <f t="shared" ca="1" si="73"/>
        <v>#REF!</v>
      </c>
      <c r="K379" s="103" t="e">
        <f t="shared" ca="1" si="74"/>
        <v>#REF!</v>
      </c>
      <c r="L379" s="103" t="e">
        <f t="shared" ca="1" si="75"/>
        <v>#REF!</v>
      </c>
      <c r="M379" s="103" t="e">
        <f t="shared" ca="1" si="76"/>
        <v>#REF!</v>
      </c>
      <c r="N379" s="104" t="e">
        <f t="shared" ca="1" si="77"/>
        <v>#REF!</v>
      </c>
    </row>
    <row r="380" spans="1:14">
      <c r="A380" s="96">
        <v>342</v>
      </c>
      <c r="B380" s="102" t="e">
        <f t="shared" ca="1" si="65"/>
        <v>#REF!</v>
      </c>
      <c r="C380" s="102" t="e">
        <f t="shared" ca="1" si="66"/>
        <v>#REF!</v>
      </c>
      <c r="D380" s="102" t="e">
        <f t="shared" ca="1" si="67"/>
        <v>#REF!</v>
      </c>
      <c r="E380" s="102" t="e">
        <f t="shared" ca="1" si="68"/>
        <v>#REF!</v>
      </c>
      <c r="F380" s="102" t="e">
        <f t="shared" ca="1" si="69"/>
        <v>#REF!</v>
      </c>
      <c r="G380" s="103">
        <f t="shared" ca="1" si="70"/>
        <v>0.45134442162134697</v>
      </c>
      <c r="H380" s="103">
        <f t="shared" ca="1" si="71"/>
        <v>0.21954527244883978</v>
      </c>
      <c r="I380" s="103" t="e">
        <f t="shared" ca="1" si="72"/>
        <v>#REF!</v>
      </c>
      <c r="J380" s="103" t="e">
        <f t="shared" ca="1" si="73"/>
        <v>#REF!</v>
      </c>
      <c r="K380" s="103" t="e">
        <f t="shared" ca="1" si="74"/>
        <v>#REF!</v>
      </c>
      <c r="L380" s="103" t="e">
        <f t="shared" ca="1" si="75"/>
        <v>#REF!</v>
      </c>
      <c r="M380" s="103" t="e">
        <f t="shared" ca="1" si="76"/>
        <v>#REF!</v>
      </c>
      <c r="N380" s="104" t="e">
        <f t="shared" ca="1" si="77"/>
        <v>#REF!</v>
      </c>
    </row>
    <row r="381" spans="1:14">
      <c r="A381" s="95">
        <v>343</v>
      </c>
      <c r="B381" s="102" t="e">
        <f t="shared" ca="1" si="65"/>
        <v>#REF!</v>
      </c>
      <c r="C381" s="102" t="e">
        <f t="shared" ca="1" si="66"/>
        <v>#REF!</v>
      </c>
      <c r="D381" s="102" t="e">
        <f t="shared" ca="1" si="67"/>
        <v>#REF!</v>
      </c>
      <c r="E381" s="102" t="e">
        <f t="shared" ca="1" si="68"/>
        <v>#REF!</v>
      </c>
      <c r="F381" s="102" t="e">
        <f t="shared" ca="1" si="69"/>
        <v>#REF!</v>
      </c>
      <c r="G381" s="103">
        <f t="shared" ca="1" si="70"/>
        <v>0.38314178449651748</v>
      </c>
      <c r="H381" s="103">
        <f t="shared" ca="1" si="71"/>
        <v>0.21358186888274752</v>
      </c>
      <c r="I381" s="103" t="e">
        <f t="shared" ca="1" si="72"/>
        <v>#REF!</v>
      </c>
      <c r="J381" s="103" t="e">
        <f t="shared" ca="1" si="73"/>
        <v>#REF!</v>
      </c>
      <c r="K381" s="103" t="e">
        <f t="shared" ca="1" si="74"/>
        <v>#REF!</v>
      </c>
      <c r="L381" s="103" t="e">
        <f t="shared" ca="1" si="75"/>
        <v>#REF!</v>
      </c>
      <c r="M381" s="103" t="e">
        <f t="shared" ca="1" si="76"/>
        <v>#REF!</v>
      </c>
      <c r="N381" s="104" t="e">
        <f t="shared" ca="1" si="77"/>
        <v>#REF!</v>
      </c>
    </row>
    <row r="382" spans="1:14">
      <c r="A382" s="96">
        <v>344</v>
      </c>
      <c r="B382" s="102" t="e">
        <f t="shared" ca="1" si="65"/>
        <v>#REF!</v>
      </c>
      <c r="C382" s="102" t="e">
        <f t="shared" ca="1" si="66"/>
        <v>#REF!</v>
      </c>
      <c r="D382" s="102" t="e">
        <f t="shared" ca="1" si="67"/>
        <v>#REF!</v>
      </c>
      <c r="E382" s="102" t="e">
        <f t="shared" ca="1" si="68"/>
        <v>#REF!</v>
      </c>
      <c r="F382" s="102" t="e">
        <f t="shared" ca="1" si="69"/>
        <v>#REF!</v>
      </c>
      <c r="G382" s="103">
        <f t="shared" ca="1" si="70"/>
        <v>0.38981064899005119</v>
      </c>
      <c r="H382" s="103">
        <f t="shared" ca="1" si="71"/>
        <v>0.22858044893202567</v>
      </c>
      <c r="I382" s="103" t="e">
        <f t="shared" ca="1" si="72"/>
        <v>#REF!</v>
      </c>
      <c r="J382" s="103" t="e">
        <f t="shared" ca="1" si="73"/>
        <v>#REF!</v>
      </c>
      <c r="K382" s="103" t="e">
        <f t="shared" ca="1" si="74"/>
        <v>#REF!</v>
      </c>
      <c r="L382" s="103" t="e">
        <f t="shared" ca="1" si="75"/>
        <v>#REF!</v>
      </c>
      <c r="M382" s="103" t="e">
        <f t="shared" ca="1" si="76"/>
        <v>#REF!</v>
      </c>
      <c r="N382" s="104" t="e">
        <f t="shared" ca="1" si="77"/>
        <v>#REF!</v>
      </c>
    </row>
    <row r="383" spans="1:14">
      <c r="A383" s="95">
        <v>345</v>
      </c>
      <c r="B383" s="102" t="e">
        <f t="shared" ca="1" si="65"/>
        <v>#REF!</v>
      </c>
      <c r="C383" s="102" t="e">
        <f t="shared" ca="1" si="66"/>
        <v>#REF!</v>
      </c>
      <c r="D383" s="102" t="e">
        <f t="shared" ca="1" si="67"/>
        <v>#REF!</v>
      </c>
      <c r="E383" s="102" t="e">
        <f t="shared" ca="1" si="68"/>
        <v>#REF!</v>
      </c>
      <c r="F383" s="102" t="e">
        <f t="shared" ca="1" si="69"/>
        <v>#REF!</v>
      </c>
      <c r="G383" s="103">
        <f t="shared" ca="1" si="70"/>
        <v>0.49500633840856789</v>
      </c>
      <c r="H383" s="103">
        <f t="shared" ca="1" si="71"/>
        <v>0.17746868118723505</v>
      </c>
      <c r="I383" s="103" t="e">
        <f t="shared" ca="1" si="72"/>
        <v>#REF!</v>
      </c>
      <c r="J383" s="103" t="e">
        <f t="shared" ca="1" si="73"/>
        <v>#REF!</v>
      </c>
      <c r="K383" s="103" t="e">
        <f t="shared" ca="1" si="74"/>
        <v>#REF!</v>
      </c>
      <c r="L383" s="103" t="e">
        <f t="shared" ca="1" si="75"/>
        <v>#REF!</v>
      </c>
      <c r="M383" s="103" t="e">
        <f t="shared" ca="1" si="76"/>
        <v>#REF!</v>
      </c>
      <c r="N383" s="104" t="e">
        <f t="shared" ca="1" si="77"/>
        <v>#REF!</v>
      </c>
    </row>
    <row r="384" spans="1:14">
      <c r="A384" s="96">
        <v>346</v>
      </c>
      <c r="B384" s="102" t="e">
        <f t="shared" ca="1" si="65"/>
        <v>#REF!</v>
      </c>
      <c r="C384" s="102" t="e">
        <f t="shared" ca="1" si="66"/>
        <v>#REF!</v>
      </c>
      <c r="D384" s="102" t="e">
        <f t="shared" ca="1" si="67"/>
        <v>#REF!</v>
      </c>
      <c r="E384" s="102" t="e">
        <f t="shared" ca="1" si="68"/>
        <v>#REF!</v>
      </c>
      <c r="F384" s="102" t="e">
        <f t="shared" ca="1" si="69"/>
        <v>#REF!</v>
      </c>
      <c r="G384" s="103">
        <f t="shared" ca="1" si="70"/>
        <v>0.3919539259055701</v>
      </c>
      <c r="H384" s="103">
        <f t="shared" ca="1" si="71"/>
        <v>0.17561683857934524</v>
      </c>
      <c r="I384" s="103" t="e">
        <f t="shared" ca="1" si="72"/>
        <v>#REF!</v>
      </c>
      <c r="J384" s="103" t="e">
        <f t="shared" ca="1" si="73"/>
        <v>#REF!</v>
      </c>
      <c r="K384" s="103" t="e">
        <f t="shared" ca="1" si="74"/>
        <v>#REF!</v>
      </c>
      <c r="L384" s="103" t="e">
        <f t="shared" ca="1" si="75"/>
        <v>#REF!</v>
      </c>
      <c r="M384" s="103" t="e">
        <f t="shared" ca="1" si="76"/>
        <v>#REF!</v>
      </c>
      <c r="N384" s="104" t="e">
        <f t="shared" ca="1" si="77"/>
        <v>#REF!</v>
      </c>
    </row>
    <row r="385" spans="1:14">
      <c r="A385" s="95">
        <v>347</v>
      </c>
      <c r="B385" s="102" t="e">
        <f t="shared" ca="1" si="65"/>
        <v>#REF!</v>
      </c>
      <c r="C385" s="102" t="e">
        <f t="shared" ca="1" si="66"/>
        <v>#REF!</v>
      </c>
      <c r="D385" s="102" t="e">
        <f t="shared" ca="1" si="67"/>
        <v>#REF!</v>
      </c>
      <c r="E385" s="102" t="e">
        <f t="shared" ca="1" si="68"/>
        <v>#REF!</v>
      </c>
      <c r="F385" s="102" t="e">
        <f t="shared" ca="1" si="69"/>
        <v>#REF!</v>
      </c>
      <c r="G385" s="103">
        <f t="shared" ca="1" si="70"/>
        <v>0.40939332571951159</v>
      </c>
      <c r="H385" s="103">
        <f t="shared" ca="1" si="71"/>
        <v>0.18018451197193455</v>
      </c>
      <c r="I385" s="103" t="e">
        <f t="shared" ca="1" si="72"/>
        <v>#REF!</v>
      </c>
      <c r="J385" s="103" t="e">
        <f t="shared" ca="1" si="73"/>
        <v>#REF!</v>
      </c>
      <c r="K385" s="103" t="e">
        <f t="shared" ca="1" si="74"/>
        <v>#REF!</v>
      </c>
      <c r="L385" s="103" t="e">
        <f t="shared" ca="1" si="75"/>
        <v>#REF!</v>
      </c>
      <c r="M385" s="103" t="e">
        <f t="shared" ca="1" si="76"/>
        <v>#REF!</v>
      </c>
      <c r="N385" s="104" t="e">
        <f t="shared" ca="1" si="77"/>
        <v>#REF!</v>
      </c>
    </row>
    <row r="386" spans="1:14">
      <c r="A386" s="96">
        <v>348</v>
      </c>
      <c r="B386" s="102" t="e">
        <f t="shared" ca="1" si="65"/>
        <v>#REF!</v>
      </c>
      <c r="C386" s="102" t="e">
        <f t="shared" ca="1" si="66"/>
        <v>#REF!</v>
      </c>
      <c r="D386" s="102" t="e">
        <f t="shared" ca="1" si="67"/>
        <v>#REF!</v>
      </c>
      <c r="E386" s="102" t="e">
        <f t="shared" ca="1" si="68"/>
        <v>#REF!</v>
      </c>
      <c r="F386" s="102" t="e">
        <f t="shared" ca="1" si="69"/>
        <v>#REF!</v>
      </c>
      <c r="G386" s="103">
        <f t="shared" ca="1" si="70"/>
        <v>0.42944690813696251</v>
      </c>
      <c r="H386" s="103">
        <f t="shared" ca="1" si="71"/>
        <v>0.19907793844371596</v>
      </c>
      <c r="I386" s="103" t="e">
        <f t="shared" ca="1" si="72"/>
        <v>#REF!</v>
      </c>
      <c r="J386" s="103" t="e">
        <f t="shared" ca="1" si="73"/>
        <v>#REF!</v>
      </c>
      <c r="K386" s="103" t="e">
        <f t="shared" ca="1" si="74"/>
        <v>#REF!</v>
      </c>
      <c r="L386" s="103" t="e">
        <f t="shared" ca="1" si="75"/>
        <v>#REF!</v>
      </c>
      <c r="M386" s="103" t="e">
        <f t="shared" ca="1" si="76"/>
        <v>#REF!</v>
      </c>
      <c r="N386" s="104" t="e">
        <f t="shared" ca="1" si="77"/>
        <v>#REF!</v>
      </c>
    </row>
    <row r="387" spans="1:14">
      <c r="A387" s="95">
        <v>349</v>
      </c>
      <c r="B387" s="102" t="e">
        <f t="shared" ca="1" si="65"/>
        <v>#REF!</v>
      </c>
      <c r="C387" s="102" t="e">
        <f t="shared" ca="1" si="66"/>
        <v>#REF!</v>
      </c>
      <c r="D387" s="102" t="e">
        <f t="shared" ca="1" si="67"/>
        <v>#REF!</v>
      </c>
      <c r="E387" s="102" t="e">
        <f t="shared" ca="1" si="68"/>
        <v>#REF!</v>
      </c>
      <c r="F387" s="102" t="e">
        <f t="shared" ca="1" si="69"/>
        <v>#REF!</v>
      </c>
      <c r="G387" s="103">
        <f t="shared" ca="1" si="70"/>
        <v>0.4591043740584253</v>
      </c>
      <c r="H387" s="103">
        <f t="shared" ca="1" si="71"/>
        <v>0.19689432436406309</v>
      </c>
      <c r="I387" s="103" t="e">
        <f t="shared" ca="1" si="72"/>
        <v>#REF!</v>
      </c>
      <c r="J387" s="103" t="e">
        <f t="shared" ca="1" si="73"/>
        <v>#REF!</v>
      </c>
      <c r="K387" s="103" t="e">
        <f t="shared" ca="1" si="74"/>
        <v>#REF!</v>
      </c>
      <c r="L387" s="103" t="e">
        <f t="shared" ca="1" si="75"/>
        <v>#REF!</v>
      </c>
      <c r="M387" s="103" t="e">
        <f t="shared" ca="1" si="76"/>
        <v>#REF!</v>
      </c>
      <c r="N387" s="104" t="e">
        <f t="shared" ca="1" si="77"/>
        <v>#REF!</v>
      </c>
    </row>
    <row r="388" spans="1:14">
      <c r="A388" s="96">
        <v>350</v>
      </c>
      <c r="B388" s="102" t="e">
        <f t="shared" ca="1" si="65"/>
        <v>#REF!</v>
      </c>
      <c r="C388" s="102" t="e">
        <f t="shared" ca="1" si="66"/>
        <v>#REF!</v>
      </c>
      <c r="D388" s="102" t="e">
        <f t="shared" ca="1" si="67"/>
        <v>#REF!</v>
      </c>
      <c r="E388" s="102" t="e">
        <f t="shared" ca="1" si="68"/>
        <v>#REF!</v>
      </c>
      <c r="F388" s="102" t="e">
        <f t="shared" ca="1" si="69"/>
        <v>#REF!</v>
      </c>
      <c r="G388" s="103">
        <f t="shared" ca="1" si="70"/>
        <v>0.42467756981500954</v>
      </c>
      <c r="H388" s="103">
        <f t="shared" ca="1" si="71"/>
        <v>0.20189524805112996</v>
      </c>
      <c r="I388" s="103" t="e">
        <f t="shared" ca="1" si="72"/>
        <v>#REF!</v>
      </c>
      <c r="J388" s="103" t="e">
        <f t="shared" ca="1" si="73"/>
        <v>#REF!</v>
      </c>
      <c r="K388" s="103" t="e">
        <f t="shared" ca="1" si="74"/>
        <v>#REF!</v>
      </c>
      <c r="L388" s="103" t="e">
        <f t="shared" ca="1" si="75"/>
        <v>#REF!</v>
      </c>
      <c r="M388" s="103" t="e">
        <f t="shared" ca="1" si="76"/>
        <v>#REF!</v>
      </c>
      <c r="N388" s="104" t="e">
        <f t="shared" ca="1" si="77"/>
        <v>#REF!</v>
      </c>
    </row>
    <row r="389" spans="1:14">
      <c r="A389" s="95">
        <v>351</v>
      </c>
      <c r="B389" s="102" t="e">
        <f t="shared" ca="1" si="65"/>
        <v>#REF!</v>
      </c>
      <c r="C389" s="102" t="e">
        <f t="shared" ca="1" si="66"/>
        <v>#REF!</v>
      </c>
      <c r="D389" s="102" t="e">
        <f t="shared" ca="1" si="67"/>
        <v>#REF!</v>
      </c>
      <c r="E389" s="102" t="e">
        <f t="shared" ca="1" si="68"/>
        <v>#REF!</v>
      </c>
      <c r="F389" s="102" t="e">
        <f t="shared" ca="1" si="69"/>
        <v>#REF!</v>
      </c>
      <c r="G389" s="103">
        <f t="shared" ca="1" si="70"/>
        <v>0.43575474085398419</v>
      </c>
      <c r="H389" s="103">
        <f t="shared" ca="1" si="71"/>
        <v>0.18599687986677804</v>
      </c>
      <c r="I389" s="103" t="e">
        <f t="shared" ca="1" si="72"/>
        <v>#REF!</v>
      </c>
      <c r="J389" s="103" t="e">
        <f t="shared" ca="1" si="73"/>
        <v>#REF!</v>
      </c>
      <c r="K389" s="103" t="e">
        <f t="shared" ca="1" si="74"/>
        <v>#REF!</v>
      </c>
      <c r="L389" s="103" t="e">
        <f t="shared" ca="1" si="75"/>
        <v>#REF!</v>
      </c>
      <c r="M389" s="103" t="e">
        <f t="shared" ca="1" si="76"/>
        <v>#REF!</v>
      </c>
      <c r="N389" s="104" t="e">
        <f t="shared" ca="1" si="77"/>
        <v>#REF!</v>
      </c>
    </row>
    <row r="390" spans="1:14">
      <c r="A390" s="96">
        <v>352</v>
      </c>
      <c r="B390" s="102" t="e">
        <f t="shared" ca="1" si="65"/>
        <v>#REF!</v>
      </c>
      <c r="C390" s="102" t="e">
        <f t="shared" ca="1" si="66"/>
        <v>#REF!</v>
      </c>
      <c r="D390" s="102" t="e">
        <f t="shared" ca="1" si="67"/>
        <v>#REF!</v>
      </c>
      <c r="E390" s="102" t="e">
        <f t="shared" ca="1" si="68"/>
        <v>#REF!</v>
      </c>
      <c r="F390" s="102" t="e">
        <f t="shared" ca="1" si="69"/>
        <v>#REF!</v>
      </c>
      <c r="G390" s="103">
        <f t="shared" ca="1" si="70"/>
        <v>0.40435101810625174</v>
      </c>
      <c r="H390" s="103">
        <f t="shared" ca="1" si="71"/>
        <v>0.21594173989792273</v>
      </c>
      <c r="I390" s="103" t="e">
        <f t="shared" ca="1" si="72"/>
        <v>#REF!</v>
      </c>
      <c r="J390" s="103" t="e">
        <f t="shared" ca="1" si="73"/>
        <v>#REF!</v>
      </c>
      <c r="K390" s="103" t="e">
        <f t="shared" ca="1" si="74"/>
        <v>#REF!</v>
      </c>
      <c r="L390" s="103" t="e">
        <f t="shared" ca="1" si="75"/>
        <v>#REF!</v>
      </c>
      <c r="M390" s="103" t="e">
        <f t="shared" ca="1" si="76"/>
        <v>#REF!</v>
      </c>
      <c r="N390" s="104" t="e">
        <f t="shared" ca="1" si="77"/>
        <v>#REF!</v>
      </c>
    </row>
    <row r="391" spans="1:14">
      <c r="A391" s="95">
        <v>353</v>
      </c>
      <c r="B391" s="102" t="e">
        <f t="shared" ca="1" si="65"/>
        <v>#REF!</v>
      </c>
      <c r="C391" s="102" t="e">
        <f t="shared" ca="1" si="66"/>
        <v>#REF!</v>
      </c>
      <c r="D391" s="102" t="e">
        <f t="shared" ca="1" si="67"/>
        <v>#REF!</v>
      </c>
      <c r="E391" s="102" t="e">
        <f t="shared" ca="1" si="68"/>
        <v>#REF!</v>
      </c>
      <c r="F391" s="102" t="e">
        <f t="shared" ca="1" si="69"/>
        <v>#REF!</v>
      </c>
      <c r="G391" s="103">
        <f t="shared" ca="1" si="70"/>
        <v>0.44677908313564141</v>
      </c>
      <c r="H391" s="103">
        <f t="shared" ca="1" si="71"/>
        <v>0.24961482468752327</v>
      </c>
      <c r="I391" s="103" t="e">
        <f t="shared" ca="1" si="72"/>
        <v>#REF!</v>
      </c>
      <c r="J391" s="103" t="e">
        <f t="shared" ca="1" si="73"/>
        <v>#REF!</v>
      </c>
      <c r="K391" s="103" t="e">
        <f t="shared" ca="1" si="74"/>
        <v>#REF!</v>
      </c>
      <c r="L391" s="103" t="e">
        <f t="shared" ca="1" si="75"/>
        <v>#REF!</v>
      </c>
      <c r="M391" s="103" t="e">
        <f t="shared" ca="1" si="76"/>
        <v>#REF!</v>
      </c>
      <c r="N391" s="104" t="e">
        <f t="shared" ca="1" si="77"/>
        <v>#REF!</v>
      </c>
    </row>
    <row r="392" spans="1:14">
      <c r="A392" s="96">
        <v>354</v>
      </c>
      <c r="B392" s="102" t="e">
        <f t="shared" ca="1" si="65"/>
        <v>#REF!</v>
      </c>
      <c r="C392" s="102" t="e">
        <f t="shared" ca="1" si="66"/>
        <v>#REF!</v>
      </c>
      <c r="D392" s="102" t="e">
        <f t="shared" ca="1" si="67"/>
        <v>#REF!</v>
      </c>
      <c r="E392" s="102" t="e">
        <f t="shared" ca="1" si="68"/>
        <v>#REF!</v>
      </c>
      <c r="F392" s="102" t="e">
        <f t="shared" ca="1" si="69"/>
        <v>#REF!</v>
      </c>
      <c r="G392" s="103">
        <f t="shared" ca="1" si="70"/>
        <v>0.46940466591355562</v>
      </c>
      <c r="H392" s="103">
        <f t="shared" ca="1" si="71"/>
        <v>0.21098100670455439</v>
      </c>
      <c r="I392" s="103" t="e">
        <f t="shared" ca="1" si="72"/>
        <v>#REF!</v>
      </c>
      <c r="J392" s="103" t="e">
        <f t="shared" ca="1" si="73"/>
        <v>#REF!</v>
      </c>
      <c r="K392" s="103" t="e">
        <f t="shared" ca="1" si="74"/>
        <v>#REF!</v>
      </c>
      <c r="L392" s="103" t="e">
        <f t="shared" ca="1" si="75"/>
        <v>#REF!</v>
      </c>
      <c r="M392" s="103" t="e">
        <f t="shared" ca="1" si="76"/>
        <v>#REF!</v>
      </c>
      <c r="N392" s="104" t="e">
        <f t="shared" ca="1" si="77"/>
        <v>#REF!</v>
      </c>
    </row>
    <row r="393" spans="1:14">
      <c r="A393" s="95">
        <v>355</v>
      </c>
      <c r="B393" s="102" t="e">
        <f t="shared" ca="1" si="65"/>
        <v>#REF!</v>
      </c>
      <c r="C393" s="102" t="e">
        <f t="shared" ca="1" si="66"/>
        <v>#REF!</v>
      </c>
      <c r="D393" s="102" t="e">
        <f t="shared" ca="1" si="67"/>
        <v>#REF!</v>
      </c>
      <c r="E393" s="102" t="e">
        <f t="shared" ca="1" si="68"/>
        <v>#REF!</v>
      </c>
      <c r="F393" s="102" t="e">
        <f t="shared" ca="1" si="69"/>
        <v>#REF!</v>
      </c>
      <c r="G393" s="103">
        <f t="shared" ca="1" si="70"/>
        <v>0.41766288833361104</v>
      </c>
      <c r="H393" s="103">
        <f t="shared" ca="1" si="71"/>
        <v>0.17429824091267779</v>
      </c>
      <c r="I393" s="103" t="e">
        <f t="shared" ca="1" si="72"/>
        <v>#REF!</v>
      </c>
      <c r="J393" s="103" t="e">
        <f t="shared" ca="1" si="73"/>
        <v>#REF!</v>
      </c>
      <c r="K393" s="103" t="e">
        <f t="shared" ca="1" si="74"/>
        <v>#REF!</v>
      </c>
      <c r="L393" s="103" t="e">
        <f t="shared" ca="1" si="75"/>
        <v>#REF!</v>
      </c>
      <c r="M393" s="103" t="e">
        <f t="shared" ca="1" si="76"/>
        <v>#REF!</v>
      </c>
      <c r="N393" s="104" t="e">
        <f t="shared" ca="1" si="77"/>
        <v>#REF!</v>
      </c>
    </row>
    <row r="394" spans="1:14">
      <c r="A394" s="96">
        <v>356</v>
      </c>
      <c r="B394" s="102" t="e">
        <f t="shared" ca="1" si="65"/>
        <v>#REF!</v>
      </c>
      <c r="C394" s="102" t="e">
        <f t="shared" ca="1" si="66"/>
        <v>#REF!</v>
      </c>
      <c r="D394" s="102" t="e">
        <f t="shared" ca="1" si="67"/>
        <v>#REF!</v>
      </c>
      <c r="E394" s="102" t="e">
        <f t="shared" ca="1" si="68"/>
        <v>#REF!</v>
      </c>
      <c r="F394" s="102" t="e">
        <f t="shared" ca="1" si="69"/>
        <v>#REF!</v>
      </c>
      <c r="G394" s="103">
        <f t="shared" ca="1" si="70"/>
        <v>0.40102663135919886</v>
      </c>
      <c r="H394" s="103">
        <f t="shared" ca="1" si="71"/>
        <v>0.19210657680431628</v>
      </c>
      <c r="I394" s="103" t="e">
        <f t="shared" ca="1" si="72"/>
        <v>#REF!</v>
      </c>
      <c r="J394" s="103" t="e">
        <f t="shared" ca="1" si="73"/>
        <v>#REF!</v>
      </c>
      <c r="K394" s="103" t="e">
        <f t="shared" ca="1" si="74"/>
        <v>#REF!</v>
      </c>
      <c r="L394" s="103" t="e">
        <f t="shared" ca="1" si="75"/>
        <v>#REF!</v>
      </c>
      <c r="M394" s="103" t="e">
        <f t="shared" ca="1" si="76"/>
        <v>#REF!</v>
      </c>
      <c r="N394" s="104" t="e">
        <f t="shared" ca="1" si="77"/>
        <v>#REF!</v>
      </c>
    </row>
    <row r="395" spans="1:14">
      <c r="A395" s="95">
        <v>357</v>
      </c>
      <c r="B395" s="102" t="e">
        <f t="shared" ca="1" si="65"/>
        <v>#REF!</v>
      </c>
      <c r="C395" s="102" t="e">
        <f t="shared" ca="1" si="66"/>
        <v>#REF!</v>
      </c>
      <c r="D395" s="102" t="e">
        <f t="shared" ca="1" si="67"/>
        <v>#REF!</v>
      </c>
      <c r="E395" s="102" t="e">
        <f t="shared" ca="1" si="68"/>
        <v>#REF!</v>
      </c>
      <c r="F395" s="102" t="e">
        <f t="shared" ca="1" si="69"/>
        <v>#REF!</v>
      </c>
      <c r="G395" s="103">
        <f t="shared" ca="1" si="70"/>
        <v>0.46780126716173537</v>
      </c>
      <c r="H395" s="103">
        <f t="shared" ca="1" si="71"/>
        <v>0.2134500397131997</v>
      </c>
      <c r="I395" s="103" t="e">
        <f t="shared" ca="1" si="72"/>
        <v>#REF!</v>
      </c>
      <c r="J395" s="103" t="e">
        <f t="shared" ca="1" si="73"/>
        <v>#REF!</v>
      </c>
      <c r="K395" s="103" t="e">
        <f t="shared" ca="1" si="74"/>
        <v>#REF!</v>
      </c>
      <c r="L395" s="103" t="e">
        <f t="shared" ca="1" si="75"/>
        <v>#REF!</v>
      </c>
      <c r="M395" s="103" t="e">
        <f t="shared" ca="1" si="76"/>
        <v>#REF!</v>
      </c>
      <c r="N395" s="104" t="e">
        <f t="shared" ca="1" si="77"/>
        <v>#REF!</v>
      </c>
    </row>
    <row r="396" spans="1:14">
      <c r="A396" s="96">
        <v>358</v>
      </c>
      <c r="B396" s="102" t="e">
        <f t="shared" ca="1" si="65"/>
        <v>#REF!</v>
      </c>
      <c r="C396" s="102" t="e">
        <f t="shared" ca="1" si="66"/>
        <v>#REF!</v>
      </c>
      <c r="D396" s="102" t="e">
        <f t="shared" ca="1" si="67"/>
        <v>#REF!</v>
      </c>
      <c r="E396" s="102" t="e">
        <f t="shared" ca="1" si="68"/>
        <v>#REF!</v>
      </c>
      <c r="F396" s="102" t="e">
        <f t="shared" ca="1" si="69"/>
        <v>#REF!</v>
      </c>
      <c r="G396" s="103">
        <f t="shared" ca="1" si="70"/>
        <v>0.45650675649656164</v>
      </c>
      <c r="H396" s="103">
        <f t="shared" ca="1" si="71"/>
        <v>0.19959252807903621</v>
      </c>
      <c r="I396" s="103" t="e">
        <f t="shared" ca="1" si="72"/>
        <v>#REF!</v>
      </c>
      <c r="J396" s="103" t="e">
        <f t="shared" ca="1" si="73"/>
        <v>#REF!</v>
      </c>
      <c r="K396" s="103" t="e">
        <f t="shared" ca="1" si="74"/>
        <v>#REF!</v>
      </c>
      <c r="L396" s="103" t="e">
        <f t="shared" ca="1" si="75"/>
        <v>#REF!</v>
      </c>
      <c r="M396" s="103" t="e">
        <f t="shared" ca="1" si="76"/>
        <v>#REF!</v>
      </c>
      <c r="N396" s="104" t="e">
        <f t="shared" ca="1" si="77"/>
        <v>#REF!</v>
      </c>
    </row>
    <row r="397" spans="1:14">
      <c r="A397" s="95">
        <v>359</v>
      </c>
      <c r="B397" s="102" t="e">
        <f t="shared" ca="1" si="65"/>
        <v>#REF!</v>
      </c>
      <c r="C397" s="102" t="e">
        <f t="shared" ca="1" si="66"/>
        <v>#REF!</v>
      </c>
      <c r="D397" s="102" t="e">
        <f t="shared" ca="1" si="67"/>
        <v>#REF!</v>
      </c>
      <c r="E397" s="102" t="e">
        <f t="shared" ca="1" si="68"/>
        <v>#REF!</v>
      </c>
      <c r="F397" s="102" t="e">
        <f t="shared" ca="1" si="69"/>
        <v>#REF!</v>
      </c>
      <c r="G397" s="103">
        <f t="shared" ca="1" si="70"/>
        <v>0.40222675604301528</v>
      </c>
      <c r="H397" s="103">
        <f t="shared" ca="1" si="71"/>
        <v>0.21464688250544853</v>
      </c>
      <c r="I397" s="103" t="e">
        <f t="shared" ca="1" si="72"/>
        <v>#REF!</v>
      </c>
      <c r="J397" s="103" t="e">
        <f t="shared" ca="1" si="73"/>
        <v>#REF!</v>
      </c>
      <c r="K397" s="103" t="e">
        <f t="shared" ca="1" si="74"/>
        <v>#REF!</v>
      </c>
      <c r="L397" s="103" t="e">
        <f t="shared" ca="1" si="75"/>
        <v>#REF!</v>
      </c>
      <c r="M397" s="103" t="e">
        <f t="shared" ca="1" si="76"/>
        <v>#REF!</v>
      </c>
      <c r="N397" s="104" t="e">
        <f t="shared" ca="1" si="77"/>
        <v>#REF!</v>
      </c>
    </row>
    <row r="398" spans="1:14">
      <c r="A398" s="96">
        <v>360</v>
      </c>
      <c r="B398" s="102" t="e">
        <f t="shared" ca="1" si="65"/>
        <v>#REF!</v>
      </c>
      <c r="C398" s="102" t="e">
        <f t="shared" ca="1" si="66"/>
        <v>#REF!</v>
      </c>
      <c r="D398" s="102" t="e">
        <f t="shared" ca="1" si="67"/>
        <v>#REF!</v>
      </c>
      <c r="E398" s="102" t="e">
        <f t="shared" ca="1" si="68"/>
        <v>#REF!</v>
      </c>
      <c r="F398" s="102" t="e">
        <f t="shared" ca="1" si="69"/>
        <v>#REF!</v>
      </c>
      <c r="G398" s="103">
        <f t="shared" ca="1" si="70"/>
        <v>0.48044612951302007</v>
      </c>
      <c r="H398" s="103">
        <f t="shared" ca="1" si="71"/>
        <v>0.21260987437554799</v>
      </c>
      <c r="I398" s="103" t="e">
        <f t="shared" ca="1" si="72"/>
        <v>#REF!</v>
      </c>
      <c r="J398" s="103" t="e">
        <f t="shared" ca="1" si="73"/>
        <v>#REF!</v>
      </c>
      <c r="K398" s="103" t="e">
        <f t="shared" ca="1" si="74"/>
        <v>#REF!</v>
      </c>
      <c r="L398" s="103" t="e">
        <f t="shared" ca="1" si="75"/>
        <v>#REF!</v>
      </c>
      <c r="M398" s="103" t="e">
        <f t="shared" ca="1" si="76"/>
        <v>#REF!</v>
      </c>
      <c r="N398" s="104" t="e">
        <f t="shared" ca="1" si="77"/>
        <v>#REF!</v>
      </c>
    </row>
    <row r="399" spans="1:14">
      <c r="A399" s="95">
        <v>361</v>
      </c>
      <c r="B399" s="102" t="e">
        <f t="shared" ca="1" si="65"/>
        <v>#REF!</v>
      </c>
      <c r="C399" s="102" t="e">
        <f t="shared" ca="1" si="66"/>
        <v>#REF!</v>
      </c>
      <c r="D399" s="102" t="e">
        <f t="shared" ca="1" si="67"/>
        <v>#REF!</v>
      </c>
      <c r="E399" s="102" t="e">
        <f t="shared" ca="1" si="68"/>
        <v>#REF!</v>
      </c>
      <c r="F399" s="102" t="e">
        <f t="shared" ca="1" si="69"/>
        <v>#REF!</v>
      </c>
      <c r="G399" s="103">
        <f t="shared" ca="1" si="70"/>
        <v>0.4720449032785019</v>
      </c>
      <c r="H399" s="103">
        <f t="shared" ca="1" si="71"/>
        <v>0.23177898892988505</v>
      </c>
      <c r="I399" s="103" t="e">
        <f t="shared" ca="1" si="72"/>
        <v>#REF!</v>
      </c>
      <c r="J399" s="103" t="e">
        <f t="shared" ca="1" si="73"/>
        <v>#REF!</v>
      </c>
      <c r="K399" s="103" t="e">
        <f t="shared" ca="1" si="74"/>
        <v>#REF!</v>
      </c>
      <c r="L399" s="103" t="e">
        <f t="shared" ca="1" si="75"/>
        <v>#REF!</v>
      </c>
      <c r="M399" s="103" t="e">
        <f t="shared" ca="1" si="76"/>
        <v>#REF!</v>
      </c>
      <c r="N399" s="104" t="e">
        <f t="shared" ca="1" si="77"/>
        <v>#REF!</v>
      </c>
    </row>
    <row r="400" spans="1:14">
      <c r="A400" s="96">
        <v>362</v>
      </c>
      <c r="B400" s="102" t="e">
        <f t="shared" ca="1" si="65"/>
        <v>#REF!</v>
      </c>
      <c r="C400" s="102" t="e">
        <f t="shared" ca="1" si="66"/>
        <v>#REF!</v>
      </c>
      <c r="D400" s="102" t="e">
        <f t="shared" ca="1" si="67"/>
        <v>#REF!</v>
      </c>
      <c r="E400" s="102" t="e">
        <f t="shared" ca="1" si="68"/>
        <v>#REF!</v>
      </c>
      <c r="F400" s="102" t="e">
        <f t="shared" ca="1" si="69"/>
        <v>#REF!</v>
      </c>
      <c r="G400" s="103">
        <f t="shared" ca="1" si="70"/>
        <v>0.45672156261009661</v>
      </c>
      <c r="H400" s="103">
        <f t="shared" ca="1" si="71"/>
        <v>0.19158283827675404</v>
      </c>
      <c r="I400" s="103" t="e">
        <f t="shared" ca="1" si="72"/>
        <v>#REF!</v>
      </c>
      <c r="J400" s="103" t="e">
        <f t="shared" ca="1" si="73"/>
        <v>#REF!</v>
      </c>
      <c r="K400" s="103" t="e">
        <f t="shared" ca="1" si="74"/>
        <v>#REF!</v>
      </c>
      <c r="L400" s="103" t="e">
        <f t="shared" ca="1" si="75"/>
        <v>#REF!</v>
      </c>
      <c r="M400" s="103" t="e">
        <f t="shared" ca="1" si="76"/>
        <v>#REF!</v>
      </c>
      <c r="N400" s="104" t="e">
        <f t="shared" ca="1" si="77"/>
        <v>#REF!</v>
      </c>
    </row>
    <row r="401" spans="1:14">
      <c r="A401" s="95">
        <v>363</v>
      </c>
      <c r="B401" s="102" t="e">
        <f t="shared" ca="1" si="65"/>
        <v>#REF!</v>
      </c>
      <c r="C401" s="102" t="e">
        <f t="shared" ca="1" si="66"/>
        <v>#REF!</v>
      </c>
      <c r="D401" s="102" t="e">
        <f t="shared" ca="1" si="67"/>
        <v>#REF!</v>
      </c>
      <c r="E401" s="102" t="e">
        <f t="shared" ca="1" si="68"/>
        <v>#REF!</v>
      </c>
      <c r="F401" s="102" t="e">
        <f t="shared" ca="1" si="69"/>
        <v>#REF!</v>
      </c>
      <c r="G401" s="103">
        <f t="shared" ca="1" si="70"/>
        <v>0.46054504490241099</v>
      </c>
      <c r="H401" s="103">
        <f t="shared" ca="1" si="71"/>
        <v>0.18534923404492668</v>
      </c>
      <c r="I401" s="103" t="e">
        <f t="shared" ca="1" si="72"/>
        <v>#REF!</v>
      </c>
      <c r="J401" s="103" t="e">
        <f t="shared" ca="1" si="73"/>
        <v>#REF!</v>
      </c>
      <c r="K401" s="103" t="e">
        <f t="shared" ca="1" si="74"/>
        <v>#REF!</v>
      </c>
      <c r="L401" s="103" t="e">
        <f t="shared" ca="1" si="75"/>
        <v>#REF!</v>
      </c>
      <c r="M401" s="103" t="e">
        <f t="shared" ca="1" si="76"/>
        <v>#REF!</v>
      </c>
      <c r="N401" s="104" t="e">
        <f t="shared" ca="1" si="77"/>
        <v>#REF!</v>
      </c>
    </row>
    <row r="402" spans="1:14">
      <c r="A402" s="96">
        <v>364</v>
      </c>
      <c r="B402" s="102" t="e">
        <f t="shared" ca="1" si="65"/>
        <v>#REF!</v>
      </c>
      <c r="C402" s="102" t="e">
        <f t="shared" ca="1" si="66"/>
        <v>#REF!</v>
      </c>
      <c r="D402" s="102" t="e">
        <f t="shared" ca="1" si="67"/>
        <v>#REF!</v>
      </c>
      <c r="E402" s="102" t="e">
        <f t="shared" ca="1" si="68"/>
        <v>#REF!</v>
      </c>
      <c r="F402" s="102" t="e">
        <f t="shared" ca="1" si="69"/>
        <v>#REF!</v>
      </c>
      <c r="G402" s="103">
        <f t="shared" ca="1" si="70"/>
        <v>0.42701805356772127</v>
      </c>
      <c r="H402" s="103">
        <f t="shared" ca="1" si="71"/>
        <v>0.19793554196837509</v>
      </c>
      <c r="I402" s="103" t="e">
        <f t="shared" ca="1" si="72"/>
        <v>#REF!</v>
      </c>
      <c r="J402" s="103" t="e">
        <f t="shared" ca="1" si="73"/>
        <v>#REF!</v>
      </c>
      <c r="K402" s="103" t="e">
        <f t="shared" ca="1" si="74"/>
        <v>#REF!</v>
      </c>
      <c r="L402" s="103" t="e">
        <f t="shared" ca="1" si="75"/>
        <v>#REF!</v>
      </c>
      <c r="M402" s="103" t="e">
        <f t="shared" ca="1" si="76"/>
        <v>#REF!</v>
      </c>
      <c r="N402" s="104" t="e">
        <f t="shared" ca="1" si="77"/>
        <v>#REF!</v>
      </c>
    </row>
    <row r="403" spans="1:14">
      <c r="A403" s="95">
        <v>365</v>
      </c>
      <c r="B403" s="102" t="e">
        <f t="shared" ca="1" si="65"/>
        <v>#REF!</v>
      </c>
      <c r="C403" s="102" t="e">
        <f t="shared" ca="1" si="66"/>
        <v>#REF!</v>
      </c>
      <c r="D403" s="102" t="e">
        <f t="shared" ca="1" si="67"/>
        <v>#REF!</v>
      </c>
      <c r="E403" s="102" t="e">
        <f t="shared" ca="1" si="68"/>
        <v>#REF!</v>
      </c>
      <c r="F403" s="102" t="e">
        <f t="shared" ca="1" si="69"/>
        <v>#REF!</v>
      </c>
      <c r="G403" s="103">
        <f t="shared" ca="1" si="70"/>
        <v>0.48281207660562842</v>
      </c>
      <c r="H403" s="103">
        <f t="shared" ca="1" si="71"/>
        <v>0.18150816081224982</v>
      </c>
      <c r="I403" s="103" t="e">
        <f t="shared" ca="1" si="72"/>
        <v>#REF!</v>
      </c>
      <c r="J403" s="103" t="e">
        <f t="shared" ca="1" si="73"/>
        <v>#REF!</v>
      </c>
      <c r="K403" s="103" t="e">
        <f t="shared" ca="1" si="74"/>
        <v>#REF!</v>
      </c>
      <c r="L403" s="103" t="e">
        <f t="shared" ca="1" si="75"/>
        <v>#REF!</v>
      </c>
      <c r="M403" s="103" t="e">
        <f t="shared" ca="1" si="76"/>
        <v>#REF!</v>
      </c>
      <c r="N403" s="104" t="e">
        <f t="shared" ca="1" si="77"/>
        <v>#REF!</v>
      </c>
    </row>
    <row r="404" spans="1:14">
      <c r="A404" s="96">
        <v>366</v>
      </c>
      <c r="B404" s="102" t="e">
        <f t="shared" ca="1" si="65"/>
        <v>#REF!</v>
      </c>
      <c r="C404" s="102" t="e">
        <f t="shared" ca="1" si="66"/>
        <v>#REF!</v>
      </c>
      <c r="D404" s="102" t="e">
        <f t="shared" ca="1" si="67"/>
        <v>#REF!</v>
      </c>
      <c r="E404" s="102" t="e">
        <f t="shared" ca="1" si="68"/>
        <v>#REF!</v>
      </c>
      <c r="F404" s="102" t="e">
        <f t="shared" ca="1" si="69"/>
        <v>#REF!</v>
      </c>
      <c r="G404" s="103">
        <f t="shared" ca="1" si="70"/>
        <v>0.40854940517567506</v>
      </c>
      <c r="H404" s="103">
        <f t="shared" ca="1" si="71"/>
        <v>0.20868117606754891</v>
      </c>
      <c r="I404" s="103" t="e">
        <f t="shared" ca="1" si="72"/>
        <v>#REF!</v>
      </c>
      <c r="J404" s="103" t="e">
        <f t="shared" ca="1" si="73"/>
        <v>#REF!</v>
      </c>
      <c r="K404" s="103" t="e">
        <f t="shared" ca="1" si="74"/>
        <v>#REF!</v>
      </c>
      <c r="L404" s="103" t="e">
        <f t="shared" ca="1" si="75"/>
        <v>#REF!</v>
      </c>
      <c r="M404" s="103" t="e">
        <f t="shared" ca="1" si="76"/>
        <v>#REF!</v>
      </c>
      <c r="N404" s="104" t="e">
        <f t="shared" ca="1" si="77"/>
        <v>#REF!</v>
      </c>
    </row>
    <row r="405" spans="1:14">
      <c r="A405" s="95">
        <v>367</v>
      </c>
      <c r="B405" s="102" t="e">
        <f t="shared" ca="1" si="65"/>
        <v>#REF!</v>
      </c>
      <c r="C405" s="102" t="e">
        <f t="shared" ca="1" si="66"/>
        <v>#REF!</v>
      </c>
      <c r="D405" s="102" t="e">
        <f t="shared" ca="1" si="67"/>
        <v>#REF!</v>
      </c>
      <c r="E405" s="102" t="e">
        <f t="shared" ca="1" si="68"/>
        <v>#REF!</v>
      </c>
      <c r="F405" s="102" t="e">
        <f t="shared" ca="1" si="69"/>
        <v>#REF!</v>
      </c>
      <c r="G405" s="103">
        <f t="shared" ca="1" si="70"/>
        <v>0.4021065699263125</v>
      </c>
      <c r="H405" s="103">
        <f t="shared" ca="1" si="71"/>
        <v>0.20722962862054828</v>
      </c>
      <c r="I405" s="103" t="e">
        <f t="shared" ca="1" si="72"/>
        <v>#REF!</v>
      </c>
      <c r="J405" s="103" t="e">
        <f t="shared" ca="1" si="73"/>
        <v>#REF!</v>
      </c>
      <c r="K405" s="103" t="e">
        <f t="shared" ca="1" si="74"/>
        <v>#REF!</v>
      </c>
      <c r="L405" s="103" t="e">
        <f t="shared" ca="1" si="75"/>
        <v>#REF!</v>
      </c>
      <c r="M405" s="103" t="e">
        <f t="shared" ca="1" si="76"/>
        <v>#REF!</v>
      </c>
      <c r="N405" s="104" t="e">
        <f t="shared" ca="1" si="77"/>
        <v>#REF!</v>
      </c>
    </row>
    <row r="406" spans="1:14">
      <c r="A406" s="96">
        <v>368</v>
      </c>
      <c r="B406" s="102" t="e">
        <f t="shared" ca="1" si="65"/>
        <v>#REF!</v>
      </c>
      <c r="C406" s="102" t="e">
        <f t="shared" ca="1" si="66"/>
        <v>#REF!</v>
      </c>
      <c r="D406" s="102" t="e">
        <f t="shared" ca="1" si="67"/>
        <v>#REF!</v>
      </c>
      <c r="E406" s="102" t="e">
        <f t="shared" ca="1" si="68"/>
        <v>#REF!</v>
      </c>
      <c r="F406" s="102" t="e">
        <f t="shared" ca="1" si="69"/>
        <v>#REF!</v>
      </c>
      <c r="G406" s="103">
        <f t="shared" ca="1" si="70"/>
        <v>0.44298963098368932</v>
      </c>
      <c r="H406" s="103">
        <f t="shared" ca="1" si="71"/>
        <v>0.20540942504461507</v>
      </c>
      <c r="I406" s="103" t="e">
        <f t="shared" ca="1" si="72"/>
        <v>#REF!</v>
      </c>
      <c r="J406" s="103" t="e">
        <f t="shared" ca="1" si="73"/>
        <v>#REF!</v>
      </c>
      <c r="K406" s="103" t="e">
        <f t="shared" ca="1" si="74"/>
        <v>#REF!</v>
      </c>
      <c r="L406" s="103" t="e">
        <f t="shared" ca="1" si="75"/>
        <v>#REF!</v>
      </c>
      <c r="M406" s="103" t="e">
        <f t="shared" ca="1" si="76"/>
        <v>#REF!</v>
      </c>
      <c r="N406" s="104" t="e">
        <f t="shared" ca="1" si="77"/>
        <v>#REF!</v>
      </c>
    </row>
    <row r="407" spans="1:14">
      <c r="A407" s="95">
        <v>369</v>
      </c>
      <c r="B407" s="102" t="e">
        <f t="shared" ca="1" si="65"/>
        <v>#REF!</v>
      </c>
      <c r="C407" s="102" t="e">
        <f t="shared" ca="1" si="66"/>
        <v>#REF!</v>
      </c>
      <c r="D407" s="102" t="e">
        <f t="shared" ca="1" si="67"/>
        <v>#REF!</v>
      </c>
      <c r="E407" s="102" t="e">
        <f t="shared" ca="1" si="68"/>
        <v>#REF!</v>
      </c>
      <c r="F407" s="102" t="e">
        <f t="shared" ca="1" si="69"/>
        <v>#REF!</v>
      </c>
      <c r="G407" s="103">
        <f t="shared" ca="1" si="70"/>
        <v>0.45728070797429043</v>
      </c>
      <c r="H407" s="103">
        <f t="shared" ca="1" si="71"/>
        <v>0.21101318694662929</v>
      </c>
      <c r="I407" s="103" t="e">
        <f t="shared" ca="1" si="72"/>
        <v>#REF!</v>
      </c>
      <c r="J407" s="103" t="e">
        <f t="shared" ca="1" si="73"/>
        <v>#REF!</v>
      </c>
      <c r="K407" s="103" t="e">
        <f t="shared" ca="1" si="74"/>
        <v>#REF!</v>
      </c>
      <c r="L407" s="103" t="e">
        <f t="shared" ca="1" si="75"/>
        <v>#REF!</v>
      </c>
      <c r="M407" s="103" t="e">
        <f t="shared" ca="1" si="76"/>
        <v>#REF!</v>
      </c>
      <c r="N407" s="104" t="e">
        <f t="shared" ca="1" si="77"/>
        <v>#REF!</v>
      </c>
    </row>
    <row r="408" spans="1:14">
      <c r="A408" s="96">
        <v>370</v>
      </c>
      <c r="B408" s="102" t="e">
        <f t="shared" ca="1" si="65"/>
        <v>#REF!</v>
      </c>
      <c r="C408" s="102" t="e">
        <f t="shared" ca="1" si="66"/>
        <v>#REF!</v>
      </c>
      <c r="D408" s="102" t="e">
        <f t="shared" ca="1" si="67"/>
        <v>#REF!</v>
      </c>
      <c r="E408" s="102" t="e">
        <f t="shared" ca="1" si="68"/>
        <v>#REF!</v>
      </c>
      <c r="F408" s="102" t="e">
        <f t="shared" ca="1" si="69"/>
        <v>#REF!</v>
      </c>
      <c r="G408" s="103">
        <f t="shared" ca="1" si="70"/>
        <v>0.41433279671403089</v>
      </c>
      <c r="H408" s="103">
        <f t="shared" ca="1" si="71"/>
        <v>0.21877590913558445</v>
      </c>
      <c r="I408" s="103" t="e">
        <f t="shared" ca="1" si="72"/>
        <v>#REF!</v>
      </c>
      <c r="J408" s="103" t="e">
        <f t="shared" ca="1" si="73"/>
        <v>#REF!</v>
      </c>
      <c r="K408" s="103" t="e">
        <f t="shared" ca="1" si="74"/>
        <v>#REF!</v>
      </c>
      <c r="L408" s="103" t="e">
        <f t="shared" ca="1" si="75"/>
        <v>#REF!</v>
      </c>
      <c r="M408" s="103" t="e">
        <f t="shared" ca="1" si="76"/>
        <v>#REF!</v>
      </c>
      <c r="N408" s="104" t="e">
        <f t="shared" ca="1" si="77"/>
        <v>#REF!</v>
      </c>
    </row>
    <row r="409" spans="1:14">
      <c r="A409" s="95">
        <v>371</v>
      </c>
      <c r="B409" s="102" t="e">
        <f t="shared" ca="1" si="65"/>
        <v>#REF!</v>
      </c>
      <c r="C409" s="102" t="e">
        <f t="shared" ca="1" si="66"/>
        <v>#REF!</v>
      </c>
      <c r="D409" s="102" t="e">
        <f t="shared" ca="1" si="67"/>
        <v>#REF!</v>
      </c>
      <c r="E409" s="102" t="e">
        <f t="shared" ca="1" si="68"/>
        <v>#REF!</v>
      </c>
      <c r="F409" s="102" t="e">
        <f t="shared" ca="1" si="69"/>
        <v>#REF!</v>
      </c>
      <c r="G409" s="103">
        <f t="shared" ca="1" si="70"/>
        <v>0.44101592989374055</v>
      </c>
      <c r="H409" s="103">
        <f t="shared" ca="1" si="71"/>
        <v>0.21165387334663854</v>
      </c>
      <c r="I409" s="103" t="e">
        <f t="shared" ca="1" si="72"/>
        <v>#REF!</v>
      </c>
      <c r="J409" s="103" t="e">
        <f t="shared" ca="1" si="73"/>
        <v>#REF!</v>
      </c>
      <c r="K409" s="103" t="e">
        <f t="shared" ca="1" si="74"/>
        <v>#REF!</v>
      </c>
      <c r="L409" s="103" t="e">
        <f t="shared" ca="1" si="75"/>
        <v>#REF!</v>
      </c>
      <c r="M409" s="103" t="e">
        <f t="shared" ca="1" si="76"/>
        <v>#REF!</v>
      </c>
      <c r="N409" s="104" t="e">
        <f t="shared" ca="1" si="77"/>
        <v>#REF!</v>
      </c>
    </row>
    <row r="410" spans="1:14">
      <c r="A410" s="96">
        <v>372</v>
      </c>
      <c r="B410" s="102" t="e">
        <f t="shared" ca="1" si="65"/>
        <v>#REF!</v>
      </c>
      <c r="C410" s="102" t="e">
        <f t="shared" ca="1" si="66"/>
        <v>#REF!</v>
      </c>
      <c r="D410" s="102" t="e">
        <f t="shared" ca="1" si="67"/>
        <v>#REF!</v>
      </c>
      <c r="E410" s="102" t="e">
        <f t="shared" ca="1" si="68"/>
        <v>#REF!</v>
      </c>
      <c r="F410" s="102" t="e">
        <f t="shared" ca="1" si="69"/>
        <v>#REF!</v>
      </c>
      <c r="G410" s="103">
        <f t="shared" ca="1" si="70"/>
        <v>0.44509631432432234</v>
      </c>
      <c r="H410" s="103">
        <f t="shared" ca="1" si="71"/>
        <v>0.20242517276427463</v>
      </c>
      <c r="I410" s="103" t="e">
        <f t="shared" ca="1" si="72"/>
        <v>#REF!</v>
      </c>
      <c r="J410" s="103" t="e">
        <f t="shared" ca="1" si="73"/>
        <v>#REF!</v>
      </c>
      <c r="K410" s="103" t="e">
        <f t="shared" ca="1" si="74"/>
        <v>#REF!</v>
      </c>
      <c r="L410" s="103" t="e">
        <f t="shared" ca="1" si="75"/>
        <v>#REF!</v>
      </c>
      <c r="M410" s="103" t="e">
        <f t="shared" ca="1" si="76"/>
        <v>#REF!</v>
      </c>
      <c r="N410" s="104" t="e">
        <f t="shared" ca="1" si="77"/>
        <v>#REF!</v>
      </c>
    </row>
    <row r="411" spans="1:14">
      <c r="A411" s="95">
        <v>373</v>
      </c>
      <c r="B411" s="102" t="e">
        <f t="shared" ca="1" si="65"/>
        <v>#REF!</v>
      </c>
      <c r="C411" s="102" t="e">
        <f t="shared" ca="1" si="66"/>
        <v>#REF!</v>
      </c>
      <c r="D411" s="102" t="e">
        <f t="shared" ca="1" si="67"/>
        <v>#REF!</v>
      </c>
      <c r="E411" s="102" t="e">
        <f t="shared" ca="1" si="68"/>
        <v>#REF!</v>
      </c>
      <c r="F411" s="102" t="e">
        <f t="shared" ca="1" si="69"/>
        <v>#REF!</v>
      </c>
      <c r="G411" s="103">
        <f t="shared" ca="1" si="70"/>
        <v>0.44430134007389466</v>
      </c>
      <c r="H411" s="103">
        <f t="shared" ca="1" si="71"/>
        <v>0.20988582600116498</v>
      </c>
      <c r="I411" s="103" t="e">
        <f t="shared" ca="1" si="72"/>
        <v>#REF!</v>
      </c>
      <c r="J411" s="103" t="e">
        <f t="shared" ca="1" si="73"/>
        <v>#REF!</v>
      </c>
      <c r="K411" s="103" t="e">
        <f t="shared" ca="1" si="74"/>
        <v>#REF!</v>
      </c>
      <c r="L411" s="103" t="e">
        <f t="shared" ca="1" si="75"/>
        <v>#REF!</v>
      </c>
      <c r="M411" s="103" t="e">
        <f t="shared" ca="1" si="76"/>
        <v>#REF!</v>
      </c>
      <c r="N411" s="104" t="e">
        <f t="shared" ca="1" si="77"/>
        <v>#REF!</v>
      </c>
    </row>
    <row r="412" spans="1:14">
      <c r="A412" s="96">
        <v>374</v>
      </c>
      <c r="B412" s="102" t="e">
        <f t="shared" ca="1" si="65"/>
        <v>#REF!</v>
      </c>
      <c r="C412" s="102" t="e">
        <f t="shared" ca="1" si="66"/>
        <v>#REF!</v>
      </c>
      <c r="D412" s="102" t="e">
        <f t="shared" ca="1" si="67"/>
        <v>#REF!</v>
      </c>
      <c r="E412" s="102" t="e">
        <f t="shared" ca="1" si="68"/>
        <v>#REF!</v>
      </c>
      <c r="F412" s="102" t="e">
        <f t="shared" ca="1" si="69"/>
        <v>#REF!</v>
      </c>
      <c r="G412" s="103">
        <f t="shared" ca="1" si="70"/>
        <v>0.43564330491131115</v>
      </c>
      <c r="H412" s="103">
        <f t="shared" ca="1" si="71"/>
        <v>0.21423460789213039</v>
      </c>
      <c r="I412" s="103" t="e">
        <f t="shared" ca="1" si="72"/>
        <v>#REF!</v>
      </c>
      <c r="J412" s="103" t="e">
        <f t="shared" ca="1" si="73"/>
        <v>#REF!</v>
      </c>
      <c r="K412" s="103" t="e">
        <f t="shared" ca="1" si="74"/>
        <v>#REF!</v>
      </c>
      <c r="L412" s="103" t="e">
        <f t="shared" ca="1" si="75"/>
        <v>#REF!</v>
      </c>
      <c r="M412" s="103" t="e">
        <f t="shared" ca="1" si="76"/>
        <v>#REF!</v>
      </c>
      <c r="N412" s="104" t="e">
        <f t="shared" ca="1" si="77"/>
        <v>#REF!</v>
      </c>
    </row>
    <row r="413" spans="1:14">
      <c r="A413" s="95">
        <v>375</v>
      </c>
      <c r="B413" s="102" t="e">
        <f t="shared" ca="1" si="65"/>
        <v>#REF!</v>
      </c>
      <c r="C413" s="102" t="e">
        <f t="shared" ca="1" si="66"/>
        <v>#REF!</v>
      </c>
      <c r="D413" s="102" t="e">
        <f t="shared" ca="1" si="67"/>
        <v>#REF!</v>
      </c>
      <c r="E413" s="102" t="e">
        <f t="shared" ca="1" si="68"/>
        <v>#REF!</v>
      </c>
      <c r="F413" s="102" t="e">
        <f t="shared" ca="1" si="69"/>
        <v>#REF!</v>
      </c>
      <c r="G413" s="103">
        <f t="shared" ca="1" si="70"/>
        <v>0.43865781253536684</v>
      </c>
      <c r="H413" s="103">
        <f t="shared" ca="1" si="71"/>
        <v>0.1948013682897628</v>
      </c>
      <c r="I413" s="103" t="e">
        <f t="shared" ca="1" si="72"/>
        <v>#REF!</v>
      </c>
      <c r="J413" s="103" t="e">
        <f t="shared" ca="1" si="73"/>
        <v>#REF!</v>
      </c>
      <c r="K413" s="103" t="e">
        <f t="shared" ca="1" si="74"/>
        <v>#REF!</v>
      </c>
      <c r="L413" s="103" t="e">
        <f t="shared" ca="1" si="75"/>
        <v>#REF!</v>
      </c>
      <c r="M413" s="103" t="e">
        <f t="shared" ca="1" si="76"/>
        <v>#REF!</v>
      </c>
      <c r="N413" s="104" t="e">
        <f t="shared" ca="1" si="77"/>
        <v>#REF!</v>
      </c>
    </row>
    <row r="414" spans="1:14">
      <c r="A414" s="96">
        <v>376</v>
      </c>
      <c r="B414" s="102" t="e">
        <f t="shared" ca="1" si="65"/>
        <v>#REF!</v>
      </c>
      <c r="C414" s="102" t="e">
        <f t="shared" ca="1" si="66"/>
        <v>#REF!</v>
      </c>
      <c r="D414" s="102" t="e">
        <f t="shared" ca="1" si="67"/>
        <v>#REF!</v>
      </c>
      <c r="E414" s="102" t="e">
        <f t="shared" ca="1" si="68"/>
        <v>#REF!</v>
      </c>
      <c r="F414" s="102" t="e">
        <f t="shared" ca="1" si="69"/>
        <v>#REF!</v>
      </c>
      <c r="G414" s="103">
        <f t="shared" ca="1" si="70"/>
        <v>0.45193681200575975</v>
      </c>
      <c r="H414" s="103">
        <f t="shared" ca="1" si="71"/>
        <v>0.21514829997511994</v>
      </c>
      <c r="I414" s="103" t="e">
        <f t="shared" ca="1" si="72"/>
        <v>#REF!</v>
      </c>
      <c r="J414" s="103" t="e">
        <f t="shared" ca="1" si="73"/>
        <v>#REF!</v>
      </c>
      <c r="K414" s="103" t="e">
        <f t="shared" ca="1" si="74"/>
        <v>#REF!</v>
      </c>
      <c r="L414" s="103" t="e">
        <f t="shared" ca="1" si="75"/>
        <v>#REF!</v>
      </c>
      <c r="M414" s="103" t="e">
        <f t="shared" ca="1" si="76"/>
        <v>#REF!</v>
      </c>
      <c r="N414" s="104" t="e">
        <f t="shared" ca="1" si="77"/>
        <v>#REF!</v>
      </c>
    </row>
    <row r="415" spans="1:14">
      <c r="A415" s="95">
        <v>377</v>
      </c>
      <c r="B415" s="102" t="e">
        <f t="shared" ca="1" si="65"/>
        <v>#REF!</v>
      </c>
      <c r="C415" s="102" t="e">
        <f t="shared" ca="1" si="66"/>
        <v>#REF!</v>
      </c>
      <c r="D415" s="102" t="e">
        <f t="shared" ca="1" si="67"/>
        <v>#REF!</v>
      </c>
      <c r="E415" s="102" t="e">
        <f t="shared" ca="1" si="68"/>
        <v>#REF!</v>
      </c>
      <c r="F415" s="102" t="e">
        <f t="shared" ca="1" si="69"/>
        <v>#REF!</v>
      </c>
      <c r="G415" s="103">
        <f t="shared" ca="1" si="70"/>
        <v>0.4304530418458532</v>
      </c>
      <c r="H415" s="103">
        <f t="shared" ca="1" si="71"/>
        <v>0.19738287430827775</v>
      </c>
      <c r="I415" s="103" t="e">
        <f t="shared" ca="1" si="72"/>
        <v>#REF!</v>
      </c>
      <c r="J415" s="103" t="e">
        <f t="shared" ca="1" si="73"/>
        <v>#REF!</v>
      </c>
      <c r="K415" s="103" t="e">
        <f t="shared" ca="1" si="74"/>
        <v>#REF!</v>
      </c>
      <c r="L415" s="103" t="e">
        <f t="shared" ca="1" si="75"/>
        <v>#REF!</v>
      </c>
      <c r="M415" s="103" t="e">
        <f t="shared" ca="1" si="76"/>
        <v>#REF!</v>
      </c>
      <c r="N415" s="104" t="e">
        <f t="shared" ca="1" si="77"/>
        <v>#REF!</v>
      </c>
    </row>
    <row r="416" spans="1:14">
      <c r="A416" s="96">
        <v>378</v>
      </c>
      <c r="B416" s="102" t="e">
        <f t="shared" ca="1" si="65"/>
        <v>#REF!</v>
      </c>
      <c r="C416" s="102" t="e">
        <f t="shared" ca="1" si="66"/>
        <v>#REF!</v>
      </c>
      <c r="D416" s="102" t="e">
        <f t="shared" ca="1" si="67"/>
        <v>#REF!</v>
      </c>
      <c r="E416" s="102" t="e">
        <f t="shared" ca="1" si="68"/>
        <v>#REF!</v>
      </c>
      <c r="F416" s="102" t="e">
        <f t="shared" ca="1" si="69"/>
        <v>#REF!</v>
      </c>
      <c r="G416" s="103">
        <f t="shared" ca="1" si="70"/>
        <v>0.40221652781798634</v>
      </c>
      <c r="H416" s="103">
        <f t="shared" ca="1" si="71"/>
        <v>0.19979150678266452</v>
      </c>
      <c r="I416" s="103" t="e">
        <f t="shared" ca="1" si="72"/>
        <v>#REF!</v>
      </c>
      <c r="J416" s="103" t="e">
        <f t="shared" ca="1" si="73"/>
        <v>#REF!</v>
      </c>
      <c r="K416" s="103" t="e">
        <f t="shared" ca="1" si="74"/>
        <v>#REF!</v>
      </c>
      <c r="L416" s="103" t="e">
        <f t="shared" ca="1" si="75"/>
        <v>#REF!</v>
      </c>
      <c r="M416" s="103" t="e">
        <f t="shared" ca="1" si="76"/>
        <v>#REF!</v>
      </c>
      <c r="N416" s="104" t="e">
        <f t="shared" ca="1" si="77"/>
        <v>#REF!</v>
      </c>
    </row>
    <row r="417" spans="1:14">
      <c r="A417" s="95">
        <v>379</v>
      </c>
      <c r="B417" s="102" t="e">
        <f t="shared" ca="1" si="65"/>
        <v>#REF!</v>
      </c>
      <c r="C417" s="102" t="e">
        <f t="shared" ca="1" si="66"/>
        <v>#REF!</v>
      </c>
      <c r="D417" s="102" t="e">
        <f t="shared" ca="1" si="67"/>
        <v>#REF!</v>
      </c>
      <c r="E417" s="102" t="e">
        <f t="shared" ca="1" si="68"/>
        <v>#REF!</v>
      </c>
      <c r="F417" s="102" t="e">
        <f t="shared" ca="1" si="69"/>
        <v>#REF!</v>
      </c>
      <c r="G417" s="103">
        <f t="shared" ca="1" si="70"/>
        <v>0.42353542417236495</v>
      </c>
      <c r="H417" s="103">
        <f t="shared" ca="1" si="71"/>
        <v>0.2146428932028874</v>
      </c>
      <c r="I417" s="103" t="e">
        <f t="shared" ca="1" si="72"/>
        <v>#REF!</v>
      </c>
      <c r="J417" s="103" t="e">
        <f t="shared" ca="1" si="73"/>
        <v>#REF!</v>
      </c>
      <c r="K417" s="103" t="e">
        <f t="shared" ca="1" si="74"/>
        <v>#REF!</v>
      </c>
      <c r="L417" s="103" t="e">
        <f t="shared" ca="1" si="75"/>
        <v>#REF!</v>
      </c>
      <c r="M417" s="103" t="e">
        <f t="shared" ca="1" si="76"/>
        <v>#REF!</v>
      </c>
      <c r="N417" s="104" t="e">
        <f t="shared" ca="1" si="77"/>
        <v>#REF!</v>
      </c>
    </row>
    <row r="418" spans="1:14">
      <c r="A418" s="96">
        <v>380</v>
      </c>
      <c r="B418" s="102" t="e">
        <f t="shared" ca="1" si="65"/>
        <v>#REF!</v>
      </c>
      <c r="C418" s="102" t="e">
        <f t="shared" ca="1" si="66"/>
        <v>#REF!</v>
      </c>
      <c r="D418" s="102" t="e">
        <f t="shared" ca="1" si="67"/>
        <v>#REF!</v>
      </c>
      <c r="E418" s="102" t="e">
        <f t="shared" ca="1" si="68"/>
        <v>#REF!</v>
      </c>
      <c r="F418" s="102" t="e">
        <f t="shared" ca="1" si="69"/>
        <v>#REF!</v>
      </c>
      <c r="G418" s="103">
        <f t="shared" ca="1" si="70"/>
        <v>0.43636890250369342</v>
      </c>
      <c r="H418" s="103">
        <f t="shared" ca="1" si="71"/>
        <v>0.19937095029068669</v>
      </c>
      <c r="I418" s="103" t="e">
        <f t="shared" ca="1" si="72"/>
        <v>#REF!</v>
      </c>
      <c r="J418" s="103" t="e">
        <f t="shared" ca="1" si="73"/>
        <v>#REF!</v>
      </c>
      <c r="K418" s="103" t="e">
        <f t="shared" ca="1" si="74"/>
        <v>#REF!</v>
      </c>
      <c r="L418" s="103" t="e">
        <f t="shared" ca="1" si="75"/>
        <v>#REF!</v>
      </c>
      <c r="M418" s="103" t="e">
        <f t="shared" ca="1" si="76"/>
        <v>#REF!</v>
      </c>
      <c r="N418" s="104" t="e">
        <f t="shared" ca="1" si="77"/>
        <v>#REF!</v>
      </c>
    </row>
    <row r="419" spans="1:14">
      <c r="A419" s="95">
        <v>381</v>
      </c>
      <c r="B419" s="102" t="e">
        <f t="shared" ca="1" si="65"/>
        <v>#REF!</v>
      </c>
      <c r="C419" s="102" t="e">
        <f t="shared" ca="1" si="66"/>
        <v>#REF!</v>
      </c>
      <c r="D419" s="102" t="e">
        <f t="shared" ca="1" si="67"/>
        <v>#REF!</v>
      </c>
      <c r="E419" s="102" t="e">
        <f t="shared" ca="1" si="68"/>
        <v>#REF!</v>
      </c>
      <c r="F419" s="102" t="e">
        <f t="shared" ca="1" si="69"/>
        <v>#REF!</v>
      </c>
      <c r="G419" s="103">
        <f t="shared" ca="1" si="70"/>
        <v>0.42826529596906887</v>
      </c>
      <c r="H419" s="103">
        <f t="shared" ca="1" si="71"/>
        <v>0.17363469856971853</v>
      </c>
      <c r="I419" s="103" t="e">
        <f t="shared" ca="1" si="72"/>
        <v>#REF!</v>
      </c>
      <c r="J419" s="103" t="e">
        <f t="shared" ca="1" si="73"/>
        <v>#REF!</v>
      </c>
      <c r="K419" s="103" t="e">
        <f t="shared" ca="1" si="74"/>
        <v>#REF!</v>
      </c>
      <c r="L419" s="103" t="e">
        <f t="shared" ca="1" si="75"/>
        <v>#REF!</v>
      </c>
      <c r="M419" s="103" t="e">
        <f t="shared" ca="1" si="76"/>
        <v>#REF!</v>
      </c>
      <c r="N419" s="104" t="e">
        <f t="shared" ca="1" si="77"/>
        <v>#REF!</v>
      </c>
    </row>
    <row r="420" spans="1:14">
      <c r="A420" s="96">
        <v>382</v>
      </c>
      <c r="B420" s="102" t="e">
        <f t="shared" ca="1" si="65"/>
        <v>#REF!</v>
      </c>
      <c r="C420" s="102" t="e">
        <f t="shared" ca="1" si="66"/>
        <v>#REF!</v>
      </c>
      <c r="D420" s="102" t="e">
        <f t="shared" ca="1" si="67"/>
        <v>#REF!</v>
      </c>
      <c r="E420" s="102" t="e">
        <f t="shared" ca="1" si="68"/>
        <v>#REF!</v>
      </c>
      <c r="F420" s="102" t="e">
        <f t="shared" ca="1" si="69"/>
        <v>#REF!</v>
      </c>
      <c r="G420" s="103">
        <f t="shared" ca="1" si="70"/>
        <v>0.4361240811342777</v>
      </c>
      <c r="H420" s="103">
        <f t="shared" ca="1" si="71"/>
        <v>0.20928927562711919</v>
      </c>
      <c r="I420" s="103" t="e">
        <f t="shared" ca="1" si="72"/>
        <v>#REF!</v>
      </c>
      <c r="J420" s="103" t="e">
        <f t="shared" ca="1" si="73"/>
        <v>#REF!</v>
      </c>
      <c r="K420" s="103" t="e">
        <f t="shared" ca="1" si="74"/>
        <v>#REF!</v>
      </c>
      <c r="L420" s="103" t="e">
        <f t="shared" ca="1" si="75"/>
        <v>#REF!</v>
      </c>
      <c r="M420" s="103" t="e">
        <f t="shared" ca="1" si="76"/>
        <v>#REF!</v>
      </c>
      <c r="N420" s="104" t="e">
        <f t="shared" ca="1" si="77"/>
        <v>#REF!</v>
      </c>
    </row>
    <row r="421" spans="1:14">
      <c r="A421" s="95">
        <v>383</v>
      </c>
      <c r="B421" s="102" t="e">
        <f t="shared" ca="1" si="65"/>
        <v>#REF!</v>
      </c>
      <c r="C421" s="102" t="e">
        <f t="shared" ca="1" si="66"/>
        <v>#REF!</v>
      </c>
      <c r="D421" s="102" t="e">
        <f t="shared" ca="1" si="67"/>
        <v>#REF!</v>
      </c>
      <c r="E421" s="102" t="e">
        <f t="shared" ca="1" si="68"/>
        <v>#REF!</v>
      </c>
      <c r="F421" s="102" t="e">
        <f t="shared" ca="1" si="69"/>
        <v>#REF!</v>
      </c>
      <c r="G421" s="103">
        <f t="shared" ca="1" si="70"/>
        <v>0.44450506840601478</v>
      </c>
      <c r="H421" s="103">
        <f t="shared" ca="1" si="71"/>
        <v>0.20463736409532235</v>
      </c>
      <c r="I421" s="103" t="e">
        <f t="shared" ca="1" si="72"/>
        <v>#REF!</v>
      </c>
      <c r="J421" s="103" t="e">
        <f t="shared" ca="1" si="73"/>
        <v>#REF!</v>
      </c>
      <c r="K421" s="103" t="e">
        <f t="shared" ca="1" si="74"/>
        <v>#REF!</v>
      </c>
      <c r="L421" s="103" t="e">
        <f t="shared" ca="1" si="75"/>
        <v>#REF!</v>
      </c>
      <c r="M421" s="103" t="e">
        <f t="shared" ca="1" si="76"/>
        <v>#REF!</v>
      </c>
      <c r="N421" s="104" t="e">
        <f t="shared" ca="1" si="77"/>
        <v>#REF!</v>
      </c>
    </row>
    <row r="422" spans="1:14">
      <c r="A422" s="96">
        <v>384</v>
      </c>
      <c r="B422" s="102" t="e">
        <f t="shared" ca="1" si="65"/>
        <v>#REF!</v>
      </c>
      <c r="C422" s="102" t="e">
        <f t="shared" ca="1" si="66"/>
        <v>#REF!</v>
      </c>
      <c r="D422" s="102" t="e">
        <f t="shared" ca="1" si="67"/>
        <v>#REF!</v>
      </c>
      <c r="E422" s="102" t="e">
        <f t="shared" ca="1" si="68"/>
        <v>#REF!</v>
      </c>
      <c r="F422" s="102" t="e">
        <f t="shared" ca="1" si="69"/>
        <v>#REF!</v>
      </c>
      <c r="G422" s="103">
        <f t="shared" ca="1" si="70"/>
        <v>0.43007362359779217</v>
      </c>
      <c r="H422" s="103">
        <f t="shared" ca="1" si="71"/>
        <v>0.19244405817454133</v>
      </c>
      <c r="I422" s="103" t="e">
        <f t="shared" ca="1" si="72"/>
        <v>#REF!</v>
      </c>
      <c r="J422" s="103" t="e">
        <f t="shared" ca="1" si="73"/>
        <v>#REF!</v>
      </c>
      <c r="K422" s="103" t="e">
        <f t="shared" ca="1" si="74"/>
        <v>#REF!</v>
      </c>
      <c r="L422" s="103" t="e">
        <f t="shared" ca="1" si="75"/>
        <v>#REF!</v>
      </c>
      <c r="M422" s="103" t="e">
        <f t="shared" ca="1" si="76"/>
        <v>#REF!</v>
      </c>
      <c r="N422" s="104" t="e">
        <f t="shared" ca="1" si="77"/>
        <v>#REF!</v>
      </c>
    </row>
    <row r="423" spans="1:14">
      <c r="A423" s="95">
        <v>385</v>
      </c>
      <c r="B423" s="102" t="e">
        <f t="shared" ca="1" si="65"/>
        <v>#REF!</v>
      </c>
      <c r="C423" s="102" t="e">
        <f t="shared" ca="1" si="66"/>
        <v>#REF!</v>
      </c>
      <c r="D423" s="102" t="e">
        <f t="shared" ca="1" si="67"/>
        <v>#REF!</v>
      </c>
      <c r="E423" s="102" t="e">
        <f t="shared" ca="1" si="68"/>
        <v>#REF!</v>
      </c>
      <c r="F423" s="102" t="e">
        <f t="shared" ca="1" si="69"/>
        <v>#REF!</v>
      </c>
      <c r="G423" s="103">
        <f t="shared" ca="1" si="70"/>
        <v>0.40250111713478354</v>
      </c>
      <c r="H423" s="103">
        <f t="shared" ca="1" si="71"/>
        <v>0.23400140910415695</v>
      </c>
      <c r="I423" s="103" t="e">
        <f t="shared" ca="1" si="72"/>
        <v>#REF!</v>
      </c>
      <c r="J423" s="103" t="e">
        <f t="shared" ca="1" si="73"/>
        <v>#REF!</v>
      </c>
      <c r="K423" s="103" t="e">
        <f t="shared" ca="1" si="74"/>
        <v>#REF!</v>
      </c>
      <c r="L423" s="103" t="e">
        <f t="shared" ca="1" si="75"/>
        <v>#REF!</v>
      </c>
      <c r="M423" s="103" t="e">
        <f t="shared" ca="1" si="76"/>
        <v>#REF!</v>
      </c>
      <c r="N423" s="104" t="e">
        <f t="shared" ca="1" si="77"/>
        <v>#REF!</v>
      </c>
    </row>
    <row r="424" spans="1:14">
      <c r="A424" s="96">
        <v>386</v>
      </c>
      <c r="B424" s="102" t="e">
        <f t="shared" ref="B424:B487" ca="1" si="78">_xlfn.LOGNORM.INV(RAND(),$D$5,$E$5)</f>
        <v>#REF!</v>
      </c>
      <c r="C424" s="102" t="e">
        <f t="shared" ref="C424:C487" ca="1" si="79">_xlfn.LOGNORM.INV(RAND(),$D$6,$E$6)</f>
        <v>#REF!</v>
      </c>
      <c r="D424" s="102" t="e">
        <f t="shared" ref="D424:D487" ca="1" si="80">_xlfn.LOGNORM.INV(RAND(),$D$7,$E$7)</f>
        <v>#REF!</v>
      </c>
      <c r="E424" s="102" t="e">
        <f t="shared" ref="E424:E487" ca="1" si="81">_xlfn.LOGNORM.INV(RAND(),$D$8,$E$8)</f>
        <v>#REF!</v>
      </c>
      <c r="F424" s="102" t="e">
        <f t="shared" ref="F424:F487" ca="1" si="82">_xlfn.LOGNORM.INV(RAND(),$D$9,$E$9)</f>
        <v>#REF!</v>
      </c>
      <c r="G424" s="103">
        <f t="shared" ref="G424:G487" ca="1" si="83">_xlfn.NORM.INV(RAND(),$B$12,$C$12)</f>
        <v>0.4242790875200973</v>
      </c>
      <c r="H424" s="103">
        <f t="shared" ref="H424:H487" ca="1" si="84">_xlfn.NORM.INV(RAND(),$B$13,$C$13)</f>
        <v>0.20771147998468095</v>
      </c>
      <c r="I424" s="103" t="e">
        <f t="shared" ref="I424:I487" ca="1" si="85">G424*($E$16/24)+H424*(1-$E$16/24)</f>
        <v>#REF!</v>
      </c>
      <c r="J424" s="103" t="e">
        <f t="shared" ref="J424:J487" ca="1" si="86">G424*($E$17/24)+H424*(1-$E$17/24)</f>
        <v>#REF!</v>
      </c>
      <c r="K424" s="103" t="e">
        <f t="shared" ref="K424:K487" ca="1" si="87">G424*($E$18/24)+H424*(1-$E$18/24)</f>
        <v>#REF!</v>
      </c>
      <c r="L424" s="103" t="e">
        <f t="shared" ref="L424:L487" ca="1" si="88">G424*($E$19/24)+H424*(1-$E$19/24)</f>
        <v>#REF!</v>
      </c>
      <c r="M424" s="103" t="e">
        <f t="shared" ref="M424:M487" ca="1" si="89">G424*($E$20/24)+H424*(1-$E$20/24)</f>
        <v>#REF!</v>
      </c>
      <c r="N424" s="104" t="e">
        <f t="shared" ref="N424:N487" ca="1" si="90">B424*$B$16+C424*$B$17+D424*$B$18+E424*$B$19+F424*$B$20-($C$16*$D$16*I424+$C$17*$D$17*J424+$C$18*$D$18*K424+$C$19*$D$19*L424+$C$20*$D$20*M424)</f>
        <v>#REF!</v>
      </c>
    </row>
    <row r="425" spans="1:14">
      <c r="A425" s="95">
        <v>387</v>
      </c>
      <c r="B425" s="102" t="e">
        <f t="shared" ca="1" si="78"/>
        <v>#REF!</v>
      </c>
      <c r="C425" s="102" t="e">
        <f t="shared" ca="1" si="79"/>
        <v>#REF!</v>
      </c>
      <c r="D425" s="102" t="e">
        <f t="shared" ca="1" si="80"/>
        <v>#REF!</v>
      </c>
      <c r="E425" s="102" t="e">
        <f t="shared" ca="1" si="81"/>
        <v>#REF!</v>
      </c>
      <c r="F425" s="102" t="e">
        <f t="shared" ca="1" si="82"/>
        <v>#REF!</v>
      </c>
      <c r="G425" s="103">
        <f t="shared" ca="1" si="83"/>
        <v>0.42673503253520173</v>
      </c>
      <c r="H425" s="103">
        <f t="shared" ca="1" si="84"/>
        <v>0.2129969567939955</v>
      </c>
      <c r="I425" s="103" t="e">
        <f t="shared" ca="1" si="85"/>
        <v>#REF!</v>
      </c>
      <c r="J425" s="103" t="e">
        <f t="shared" ca="1" si="86"/>
        <v>#REF!</v>
      </c>
      <c r="K425" s="103" t="e">
        <f t="shared" ca="1" si="87"/>
        <v>#REF!</v>
      </c>
      <c r="L425" s="103" t="e">
        <f t="shared" ca="1" si="88"/>
        <v>#REF!</v>
      </c>
      <c r="M425" s="103" t="e">
        <f t="shared" ca="1" si="89"/>
        <v>#REF!</v>
      </c>
      <c r="N425" s="104" t="e">
        <f t="shared" ca="1" si="90"/>
        <v>#REF!</v>
      </c>
    </row>
    <row r="426" spans="1:14">
      <c r="A426" s="96">
        <v>388</v>
      </c>
      <c r="B426" s="102" t="e">
        <f t="shared" ca="1" si="78"/>
        <v>#REF!</v>
      </c>
      <c r="C426" s="102" t="e">
        <f t="shared" ca="1" si="79"/>
        <v>#REF!</v>
      </c>
      <c r="D426" s="102" t="e">
        <f t="shared" ca="1" si="80"/>
        <v>#REF!</v>
      </c>
      <c r="E426" s="102" t="e">
        <f t="shared" ca="1" si="81"/>
        <v>#REF!</v>
      </c>
      <c r="F426" s="102" t="e">
        <f t="shared" ca="1" si="82"/>
        <v>#REF!</v>
      </c>
      <c r="G426" s="103">
        <f t="shared" ca="1" si="83"/>
        <v>0.41774240163177778</v>
      </c>
      <c r="H426" s="103">
        <f t="shared" ca="1" si="84"/>
        <v>0.19342121532965981</v>
      </c>
      <c r="I426" s="103" t="e">
        <f t="shared" ca="1" si="85"/>
        <v>#REF!</v>
      </c>
      <c r="J426" s="103" t="e">
        <f t="shared" ca="1" si="86"/>
        <v>#REF!</v>
      </c>
      <c r="K426" s="103" t="e">
        <f t="shared" ca="1" si="87"/>
        <v>#REF!</v>
      </c>
      <c r="L426" s="103" t="e">
        <f t="shared" ca="1" si="88"/>
        <v>#REF!</v>
      </c>
      <c r="M426" s="103" t="e">
        <f t="shared" ca="1" si="89"/>
        <v>#REF!</v>
      </c>
      <c r="N426" s="104" t="e">
        <f t="shared" ca="1" si="90"/>
        <v>#REF!</v>
      </c>
    </row>
    <row r="427" spans="1:14">
      <c r="A427" s="95">
        <v>389</v>
      </c>
      <c r="B427" s="102" t="e">
        <f t="shared" ca="1" si="78"/>
        <v>#REF!</v>
      </c>
      <c r="C427" s="102" t="e">
        <f t="shared" ca="1" si="79"/>
        <v>#REF!</v>
      </c>
      <c r="D427" s="102" t="e">
        <f t="shared" ca="1" si="80"/>
        <v>#REF!</v>
      </c>
      <c r="E427" s="102" t="e">
        <f t="shared" ca="1" si="81"/>
        <v>#REF!</v>
      </c>
      <c r="F427" s="102" t="e">
        <f t="shared" ca="1" si="82"/>
        <v>#REF!</v>
      </c>
      <c r="G427" s="103">
        <f t="shared" ca="1" si="83"/>
        <v>0.44590289086556534</v>
      </c>
      <c r="H427" s="103">
        <f t="shared" ca="1" si="84"/>
        <v>0.19705954893635735</v>
      </c>
      <c r="I427" s="103" t="e">
        <f t="shared" ca="1" si="85"/>
        <v>#REF!</v>
      </c>
      <c r="J427" s="103" t="e">
        <f t="shared" ca="1" si="86"/>
        <v>#REF!</v>
      </c>
      <c r="K427" s="103" t="e">
        <f t="shared" ca="1" si="87"/>
        <v>#REF!</v>
      </c>
      <c r="L427" s="103" t="e">
        <f t="shared" ca="1" si="88"/>
        <v>#REF!</v>
      </c>
      <c r="M427" s="103" t="e">
        <f t="shared" ca="1" si="89"/>
        <v>#REF!</v>
      </c>
      <c r="N427" s="104" t="e">
        <f t="shared" ca="1" si="90"/>
        <v>#REF!</v>
      </c>
    </row>
    <row r="428" spans="1:14">
      <c r="A428" s="96">
        <v>390</v>
      </c>
      <c r="B428" s="102" t="e">
        <f t="shared" ca="1" si="78"/>
        <v>#REF!</v>
      </c>
      <c r="C428" s="102" t="e">
        <f t="shared" ca="1" si="79"/>
        <v>#REF!</v>
      </c>
      <c r="D428" s="102" t="e">
        <f t="shared" ca="1" si="80"/>
        <v>#REF!</v>
      </c>
      <c r="E428" s="102" t="e">
        <f t="shared" ca="1" si="81"/>
        <v>#REF!</v>
      </c>
      <c r="F428" s="102" t="e">
        <f t="shared" ca="1" si="82"/>
        <v>#REF!</v>
      </c>
      <c r="G428" s="103">
        <f t="shared" ca="1" si="83"/>
        <v>0.41909807803571847</v>
      </c>
      <c r="H428" s="103">
        <f t="shared" ca="1" si="84"/>
        <v>0.2139162511618227</v>
      </c>
      <c r="I428" s="103" t="e">
        <f t="shared" ca="1" si="85"/>
        <v>#REF!</v>
      </c>
      <c r="J428" s="103" t="e">
        <f t="shared" ca="1" si="86"/>
        <v>#REF!</v>
      </c>
      <c r="K428" s="103" t="e">
        <f t="shared" ca="1" si="87"/>
        <v>#REF!</v>
      </c>
      <c r="L428" s="103" t="e">
        <f t="shared" ca="1" si="88"/>
        <v>#REF!</v>
      </c>
      <c r="M428" s="103" t="e">
        <f t="shared" ca="1" si="89"/>
        <v>#REF!</v>
      </c>
      <c r="N428" s="104" t="e">
        <f t="shared" ca="1" si="90"/>
        <v>#REF!</v>
      </c>
    </row>
    <row r="429" spans="1:14">
      <c r="A429" s="95">
        <v>391</v>
      </c>
      <c r="B429" s="102" t="e">
        <f t="shared" ca="1" si="78"/>
        <v>#REF!</v>
      </c>
      <c r="C429" s="102" t="e">
        <f t="shared" ca="1" si="79"/>
        <v>#REF!</v>
      </c>
      <c r="D429" s="102" t="e">
        <f t="shared" ca="1" si="80"/>
        <v>#REF!</v>
      </c>
      <c r="E429" s="102" t="e">
        <f t="shared" ca="1" si="81"/>
        <v>#REF!</v>
      </c>
      <c r="F429" s="102" t="e">
        <f t="shared" ca="1" si="82"/>
        <v>#REF!</v>
      </c>
      <c r="G429" s="103">
        <f t="shared" ca="1" si="83"/>
        <v>0.44554148887801776</v>
      </c>
      <c r="H429" s="103">
        <f t="shared" ca="1" si="84"/>
        <v>0.18323007916868375</v>
      </c>
      <c r="I429" s="103" t="e">
        <f t="shared" ca="1" si="85"/>
        <v>#REF!</v>
      </c>
      <c r="J429" s="103" t="e">
        <f t="shared" ca="1" si="86"/>
        <v>#REF!</v>
      </c>
      <c r="K429" s="103" t="e">
        <f t="shared" ca="1" si="87"/>
        <v>#REF!</v>
      </c>
      <c r="L429" s="103" t="e">
        <f t="shared" ca="1" si="88"/>
        <v>#REF!</v>
      </c>
      <c r="M429" s="103" t="e">
        <f t="shared" ca="1" si="89"/>
        <v>#REF!</v>
      </c>
      <c r="N429" s="104" t="e">
        <f t="shared" ca="1" si="90"/>
        <v>#REF!</v>
      </c>
    </row>
    <row r="430" spans="1:14">
      <c r="A430" s="96">
        <v>392</v>
      </c>
      <c r="B430" s="102" t="e">
        <f t="shared" ca="1" si="78"/>
        <v>#REF!</v>
      </c>
      <c r="C430" s="102" t="e">
        <f t="shared" ca="1" si="79"/>
        <v>#REF!</v>
      </c>
      <c r="D430" s="102" t="e">
        <f t="shared" ca="1" si="80"/>
        <v>#REF!</v>
      </c>
      <c r="E430" s="102" t="e">
        <f t="shared" ca="1" si="81"/>
        <v>#REF!</v>
      </c>
      <c r="F430" s="102" t="e">
        <f t="shared" ca="1" si="82"/>
        <v>#REF!</v>
      </c>
      <c r="G430" s="103">
        <f t="shared" ca="1" si="83"/>
        <v>0.41744989465616889</v>
      </c>
      <c r="H430" s="103">
        <f t="shared" ca="1" si="84"/>
        <v>0.19364263330928208</v>
      </c>
      <c r="I430" s="103" t="e">
        <f t="shared" ca="1" si="85"/>
        <v>#REF!</v>
      </c>
      <c r="J430" s="103" t="e">
        <f t="shared" ca="1" si="86"/>
        <v>#REF!</v>
      </c>
      <c r="K430" s="103" t="e">
        <f t="shared" ca="1" si="87"/>
        <v>#REF!</v>
      </c>
      <c r="L430" s="103" t="e">
        <f t="shared" ca="1" si="88"/>
        <v>#REF!</v>
      </c>
      <c r="M430" s="103" t="e">
        <f t="shared" ca="1" si="89"/>
        <v>#REF!</v>
      </c>
      <c r="N430" s="104" t="e">
        <f t="shared" ca="1" si="90"/>
        <v>#REF!</v>
      </c>
    </row>
    <row r="431" spans="1:14">
      <c r="A431" s="95">
        <v>393</v>
      </c>
      <c r="B431" s="102" t="e">
        <f t="shared" ca="1" si="78"/>
        <v>#REF!</v>
      </c>
      <c r="C431" s="102" t="e">
        <f t="shared" ca="1" si="79"/>
        <v>#REF!</v>
      </c>
      <c r="D431" s="102" t="e">
        <f t="shared" ca="1" si="80"/>
        <v>#REF!</v>
      </c>
      <c r="E431" s="102" t="e">
        <f t="shared" ca="1" si="81"/>
        <v>#REF!</v>
      </c>
      <c r="F431" s="102" t="e">
        <f t="shared" ca="1" si="82"/>
        <v>#REF!</v>
      </c>
      <c r="G431" s="103">
        <f t="shared" ca="1" si="83"/>
        <v>0.42246281485917581</v>
      </c>
      <c r="H431" s="103">
        <f t="shared" ca="1" si="84"/>
        <v>0.19804562527792696</v>
      </c>
      <c r="I431" s="103" t="e">
        <f t="shared" ca="1" si="85"/>
        <v>#REF!</v>
      </c>
      <c r="J431" s="103" t="e">
        <f t="shared" ca="1" si="86"/>
        <v>#REF!</v>
      </c>
      <c r="K431" s="103" t="e">
        <f t="shared" ca="1" si="87"/>
        <v>#REF!</v>
      </c>
      <c r="L431" s="103" t="e">
        <f t="shared" ca="1" si="88"/>
        <v>#REF!</v>
      </c>
      <c r="M431" s="103" t="e">
        <f t="shared" ca="1" si="89"/>
        <v>#REF!</v>
      </c>
      <c r="N431" s="104" t="e">
        <f t="shared" ca="1" si="90"/>
        <v>#REF!</v>
      </c>
    </row>
    <row r="432" spans="1:14">
      <c r="A432" s="96">
        <v>394</v>
      </c>
      <c r="B432" s="102" t="e">
        <f t="shared" ca="1" si="78"/>
        <v>#REF!</v>
      </c>
      <c r="C432" s="102" t="e">
        <f t="shared" ca="1" si="79"/>
        <v>#REF!</v>
      </c>
      <c r="D432" s="102" t="e">
        <f t="shared" ca="1" si="80"/>
        <v>#REF!</v>
      </c>
      <c r="E432" s="102" t="e">
        <f t="shared" ca="1" si="81"/>
        <v>#REF!</v>
      </c>
      <c r="F432" s="102" t="e">
        <f t="shared" ca="1" si="82"/>
        <v>#REF!</v>
      </c>
      <c r="G432" s="103">
        <f t="shared" ca="1" si="83"/>
        <v>0.45665423790421306</v>
      </c>
      <c r="H432" s="103">
        <f t="shared" ca="1" si="84"/>
        <v>0.21423241360151091</v>
      </c>
      <c r="I432" s="103" t="e">
        <f t="shared" ca="1" si="85"/>
        <v>#REF!</v>
      </c>
      <c r="J432" s="103" t="e">
        <f t="shared" ca="1" si="86"/>
        <v>#REF!</v>
      </c>
      <c r="K432" s="103" t="e">
        <f t="shared" ca="1" si="87"/>
        <v>#REF!</v>
      </c>
      <c r="L432" s="103" t="e">
        <f t="shared" ca="1" si="88"/>
        <v>#REF!</v>
      </c>
      <c r="M432" s="103" t="e">
        <f t="shared" ca="1" si="89"/>
        <v>#REF!</v>
      </c>
      <c r="N432" s="104" t="e">
        <f t="shared" ca="1" si="90"/>
        <v>#REF!</v>
      </c>
    </row>
    <row r="433" spans="1:14">
      <c r="A433" s="95">
        <v>395</v>
      </c>
      <c r="B433" s="102" t="e">
        <f t="shared" ca="1" si="78"/>
        <v>#REF!</v>
      </c>
      <c r="C433" s="102" t="e">
        <f t="shared" ca="1" si="79"/>
        <v>#REF!</v>
      </c>
      <c r="D433" s="102" t="e">
        <f t="shared" ca="1" si="80"/>
        <v>#REF!</v>
      </c>
      <c r="E433" s="102" t="e">
        <f t="shared" ca="1" si="81"/>
        <v>#REF!</v>
      </c>
      <c r="F433" s="102" t="e">
        <f t="shared" ca="1" si="82"/>
        <v>#REF!</v>
      </c>
      <c r="G433" s="103">
        <f t="shared" ca="1" si="83"/>
        <v>0.45975546072230455</v>
      </c>
      <c r="H433" s="103">
        <f t="shared" ca="1" si="84"/>
        <v>0.21551455014451498</v>
      </c>
      <c r="I433" s="103" t="e">
        <f t="shared" ca="1" si="85"/>
        <v>#REF!</v>
      </c>
      <c r="J433" s="103" t="e">
        <f t="shared" ca="1" si="86"/>
        <v>#REF!</v>
      </c>
      <c r="K433" s="103" t="e">
        <f t="shared" ca="1" si="87"/>
        <v>#REF!</v>
      </c>
      <c r="L433" s="103" t="e">
        <f t="shared" ca="1" si="88"/>
        <v>#REF!</v>
      </c>
      <c r="M433" s="103" t="e">
        <f t="shared" ca="1" si="89"/>
        <v>#REF!</v>
      </c>
      <c r="N433" s="104" t="e">
        <f t="shared" ca="1" si="90"/>
        <v>#REF!</v>
      </c>
    </row>
    <row r="434" spans="1:14">
      <c r="A434" s="96">
        <v>396</v>
      </c>
      <c r="B434" s="102" t="e">
        <f t="shared" ca="1" si="78"/>
        <v>#REF!</v>
      </c>
      <c r="C434" s="102" t="e">
        <f t="shared" ca="1" si="79"/>
        <v>#REF!</v>
      </c>
      <c r="D434" s="102" t="e">
        <f t="shared" ca="1" si="80"/>
        <v>#REF!</v>
      </c>
      <c r="E434" s="102" t="e">
        <f t="shared" ca="1" si="81"/>
        <v>#REF!</v>
      </c>
      <c r="F434" s="102" t="e">
        <f t="shared" ca="1" si="82"/>
        <v>#REF!</v>
      </c>
      <c r="G434" s="103">
        <f t="shared" ca="1" si="83"/>
        <v>0.43681244393956142</v>
      </c>
      <c r="H434" s="103">
        <f t="shared" ca="1" si="84"/>
        <v>0.20994343767085971</v>
      </c>
      <c r="I434" s="103" t="e">
        <f t="shared" ca="1" si="85"/>
        <v>#REF!</v>
      </c>
      <c r="J434" s="103" t="e">
        <f t="shared" ca="1" si="86"/>
        <v>#REF!</v>
      </c>
      <c r="K434" s="103" t="e">
        <f t="shared" ca="1" si="87"/>
        <v>#REF!</v>
      </c>
      <c r="L434" s="103" t="e">
        <f t="shared" ca="1" si="88"/>
        <v>#REF!</v>
      </c>
      <c r="M434" s="103" t="e">
        <f t="shared" ca="1" si="89"/>
        <v>#REF!</v>
      </c>
      <c r="N434" s="104" t="e">
        <f t="shared" ca="1" si="90"/>
        <v>#REF!</v>
      </c>
    </row>
    <row r="435" spans="1:14">
      <c r="A435" s="95">
        <v>397</v>
      </c>
      <c r="B435" s="102" t="e">
        <f t="shared" ca="1" si="78"/>
        <v>#REF!</v>
      </c>
      <c r="C435" s="102" t="e">
        <f t="shared" ca="1" si="79"/>
        <v>#REF!</v>
      </c>
      <c r="D435" s="102" t="e">
        <f t="shared" ca="1" si="80"/>
        <v>#REF!</v>
      </c>
      <c r="E435" s="102" t="e">
        <f t="shared" ca="1" si="81"/>
        <v>#REF!</v>
      </c>
      <c r="F435" s="102" t="e">
        <f t="shared" ca="1" si="82"/>
        <v>#REF!</v>
      </c>
      <c r="G435" s="103">
        <f t="shared" ca="1" si="83"/>
        <v>0.417745060973508</v>
      </c>
      <c r="H435" s="103">
        <f t="shared" ca="1" si="84"/>
        <v>0.16566276314010051</v>
      </c>
      <c r="I435" s="103" t="e">
        <f t="shared" ca="1" si="85"/>
        <v>#REF!</v>
      </c>
      <c r="J435" s="103" t="e">
        <f t="shared" ca="1" si="86"/>
        <v>#REF!</v>
      </c>
      <c r="K435" s="103" t="e">
        <f t="shared" ca="1" si="87"/>
        <v>#REF!</v>
      </c>
      <c r="L435" s="103" t="e">
        <f t="shared" ca="1" si="88"/>
        <v>#REF!</v>
      </c>
      <c r="M435" s="103" t="e">
        <f t="shared" ca="1" si="89"/>
        <v>#REF!</v>
      </c>
      <c r="N435" s="104" t="e">
        <f t="shared" ca="1" si="90"/>
        <v>#REF!</v>
      </c>
    </row>
    <row r="436" spans="1:14">
      <c r="A436" s="96">
        <v>398</v>
      </c>
      <c r="B436" s="102" t="e">
        <f t="shared" ca="1" si="78"/>
        <v>#REF!</v>
      </c>
      <c r="C436" s="102" t="e">
        <f t="shared" ca="1" si="79"/>
        <v>#REF!</v>
      </c>
      <c r="D436" s="102" t="e">
        <f t="shared" ca="1" si="80"/>
        <v>#REF!</v>
      </c>
      <c r="E436" s="102" t="e">
        <f t="shared" ca="1" si="81"/>
        <v>#REF!</v>
      </c>
      <c r="F436" s="102" t="e">
        <f t="shared" ca="1" si="82"/>
        <v>#REF!</v>
      </c>
      <c r="G436" s="103">
        <f t="shared" ca="1" si="83"/>
        <v>0.40322600753601634</v>
      </c>
      <c r="H436" s="103">
        <f t="shared" ca="1" si="84"/>
        <v>0.17233239307634829</v>
      </c>
      <c r="I436" s="103" t="e">
        <f t="shared" ca="1" si="85"/>
        <v>#REF!</v>
      </c>
      <c r="J436" s="103" t="e">
        <f t="shared" ca="1" si="86"/>
        <v>#REF!</v>
      </c>
      <c r="K436" s="103" t="e">
        <f t="shared" ca="1" si="87"/>
        <v>#REF!</v>
      </c>
      <c r="L436" s="103" t="e">
        <f t="shared" ca="1" si="88"/>
        <v>#REF!</v>
      </c>
      <c r="M436" s="103" t="e">
        <f t="shared" ca="1" si="89"/>
        <v>#REF!</v>
      </c>
      <c r="N436" s="104" t="e">
        <f t="shared" ca="1" si="90"/>
        <v>#REF!</v>
      </c>
    </row>
    <row r="437" spans="1:14">
      <c r="A437" s="95">
        <v>399</v>
      </c>
      <c r="B437" s="102" t="e">
        <f t="shared" ca="1" si="78"/>
        <v>#REF!</v>
      </c>
      <c r="C437" s="102" t="e">
        <f t="shared" ca="1" si="79"/>
        <v>#REF!</v>
      </c>
      <c r="D437" s="102" t="e">
        <f t="shared" ca="1" si="80"/>
        <v>#REF!</v>
      </c>
      <c r="E437" s="102" t="e">
        <f t="shared" ca="1" si="81"/>
        <v>#REF!</v>
      </c>
      <c r="F437" s="102" t="e">
        <f t="shared" ca="1" si="82"/>
        <v>#REF!</v>
      </c>
      <c r="G437" s="103">
        <f t="shared" ca="1" si="83"/>
        <v>0.47350345852082754</v>
      </c>
      <c r="H437" s="103">
        <f t="shared" ca="1" si="84"/>
        <v>0.21518193304665922</v>
      </c>
      <c r="I437" s="103" t="e">
        <f t="shared" ca="1" si="85"/>
        <v>#REF!</v>
      </c>
      <c r="J437" s="103" t="e">
        <f t="shared" ca="1" si="86"/>
        <v>#REF!</v>
      </c>
      <c r="K437" s="103" t="e">
        <f t="shared" ca="1" si="87"/>
        <v>#REF!</v>
      </c>
      <c r="L437" s="103" t="e">
        <f t="shared" ca="1" si="88"/>
        <v>#REF!</v>
      </c>
      <c r="M437" s="103" t="e">
        <f t="shared" ca="1" si="89"/>
        <v>#REF!</v>
      </c>
      <c r="N437" s="104" t="e">
        <f t="shared" ca="1" si="90"/>
        <v>#REF!</v>
      </c>
    </row>
    <row r="438" spans="1:14">
      <c r="A438" s="96">
        <v>400</v>
      </c>
      <c r="B438" s="102" t="e">
        <f t="shared" ca="1" si="78"/>
        <v>#REF!</v>
      </c>
      <c r="C438" s="102" t="e">
        <f t="shared" ca="1" si="79"/>
        <v>#REF!</v>
      </c>
      <c r="D438" s="102" t="e">
        <f t="shared" ca="1" si="80"/>
        <v>#REF!</v>
      </c>
      <c r="E438" s="102" t="e">
        <f t="shared" ca="1" si="81"/>
        <v>#REF!</v>
      </c>
      <c r="F438" s="102" t="e">
        <f t="shared" ca="1" si="82"/>
        <v>#REF!</v>
      </c>
      <c r="G438" s="103">
        <f t="shared" ca="1" si="83"/>
        <v>0.44967183256009607</v>
      </c>
      <c r="H438" s="103">
        <f t="shared" ca="1" si="84"/>
        <v>0.20002415739646376</v>
      </c>
      <c r="I438" s="103" t="e">
        <f t="shared" ca="1" si="85"/>
        <v>#REF!</v>
      </c>
      <c r="J438" s="103" t="e">
        <f t="shared" ca="1" si="86"/>
        <v>#REF!</v>
      </c>
      <c r="K438" s="103" t="e">
        <f t="shared" ca="1" si="87"/>
        <v>#REF!</v>
      </c>
      <c r="L438" s="103" t="e">
        <f t="shared" ca="1" si="88"/>
        <v>#REF!</v>
      </c>
      <c r="M438" s="103" t="e">
        <f t="shared" ca="1" si="89"/>
        <v>#REF!</v>
      </c>
      <c r="N438" s="104" t="e">
        <f t="shared" ca="1" si="90"/>
        <v>#REF!</v>
      </c>
    </row>
    <row r="439" spans="1:14">
      <c r="A439" s="95">
        <v>401</v>
      </c>
      <c r="B439" s="102" t="e">
        <f t="shared" ca="1" si="78"/>
        <v>#REF!</v>
      </c>
      <c r="C439" s="102" t="e">
        <f t="shared" ca="1" si="79"/>
        <v>#REF!</v>
      </c>
      <c r="D439" s="102" t="e">
        <f t="shared" ca="1" si="80"/>
        <v>#REF!</v>
      </c>
      <c r="E439" s="102" t="e">
        <f t="shared" ca="1" si="81"/>
        <v>#REF!</v>
      </c>
      <c r="F439" s="102" t="e">
        <f t="shared" ca="1" si="82"/>
        <v>#REF!</v>
      </c>
      <c r="G439" s="103">
        <f t="shared" ca="1" si="83"/>
        <v>0.44370627181493716</v>
      </c>
      <c r="H439" s="103">
        <f t="shared" ca="1" si="84"/>
        <v>0.21085737800417664</v>
      </c>
      <c r="I439" s="103" t="e">
        <f t="shared" ca="1" si="85"/>
        <v>#REF!</v>
      </c>
      <c r="J439" s="103" t="e">
        <f t="shared" ca="1" si="86"/>
        <v>#REF!</v>
      </c>
      <c r="K439" s="103" t="e">
        <f t="shared" ca="1" si="87"/>
        <v>#REF!</v>
      </c>
      <c r="L439" s="103" t="e">
        <f t="shared" ca="1" si="88"/>
        <v>#REF!</v>
      </c>
      <c r="M439" s="103" t="e">
        <f t="shared" ca="1" si="89"/>
        <v>#REF!</v>
      </c>
      <c r="N439" s="104" t="e">
        <f t="shared" ca="1" si="90"/>
        <v>#REF!</v>
      </c>
    </row>
    <row r="440" spans="1:14">
      <c r="A440" s="96">
        <v>402</v>
      </c>
      <c r="B440" s="102" t="e">
        <f t="shared" ca="1" si="78"/>
        <v>#REF!</v>
      </c>
      <c r="C440" s="102" t="e">
        <f t="shared" ca="1" si="79"/>
        <v>#REF!</v>
      </c>
      <c r="D440" s="102" t="e">
        <f t="shared" ca="1" si="80"/>
        <v>#REF!</v>
      </c>
      <c r="E440" s="102" t="e">
        <f t="shared" ca="1" si="81"/>
        <v>#REF!</v>
      </c>
      <c r="F440" s="102" t="e">
        <f t="shared" ca="1" si="82"/>
        <v>#REF!</v>
      </c>
      <c r="G440" s="103">
        <f t="shared" ca="1" si="83"/>
        <v>0.40223923186630467</v>
      </c>
      <c r="H440" s="103">
        <f t="shared" ca="1" si="84"/>
        <v>0.23007657452658564</v>
      </c>
      <c r="I440" s="103" t="e">
        <f t="shared" ca="1" si="85"/>
        <v>#REF!</v>
      </c>
      <c r="J440" s="103" t="e">
        <f t="shared" ca="1" si="86"/>
        <v>#REF!</v>
      </c>
      <c r="K440" s="103" t="e">
        <f t="shared" ca="1" si="87"/>
        <v>#REF!</v>
      </c>
      <c r="L440" s="103" t="e">
        <f t="shared" ca="1" si="88"/>
        <v>#REF!</v>
      </c>
      <c r="M440" s="103" t="e">
        <f t="shared" ca="1" si="89"/>
        <v>#REF!</v>
      </c>
      <c r="N440" s="104" t="e">
        <f t="shared" ca="1" si="90"/>
        <v>#REF!</v>
      </c>
    </row>
    <row r="441" spans="1:14">
      <c r="A441" s="95">
        <v>403</v>
      </c>
      <c r="B441" s="102" t="e">
        <f t="shared" ca="1" si="78"/>
        <v>#REF!</v>
      </c>
      <c r="C441" s="102" t="e">
        <f t="shared" ca="1" si="79"/>
        <v>#REF!</v>
      </c>
      <c r="D441" s="102" t="e">
        <f t="shared" ca="1" si="80"/>
        <v>#REF!</v>
      </c>
      <c r="E441" s="102" t="e">
        <f t="shared" ca="1" si="81"/>
        <v>#REF!</v>
      </c>
      <c r="F441" s="102" t="e">
        <f t="shared" ca="1" si="82"/>
        <v>#REF!</v>
      </c>
      <c r="G441" s="103">
        <f t="shared" ca="1" si="83"/>
        <v>0.4432152771896713</v>
      </c>
      <c r="H441" s="103">
        <f t="shared" ca="1" si="84"/>
        <v>0.19342889211637201</v>
      </c>
      <c r="I441" s="103" t="e">
        <f t="shared" ca="1" si="85"/>
        <v>#REF!</v>
      </c>
      <c r="J441" s="103" t="e">
        <f t="shared" ca="1" si="86"/>
        <v>#REF!</v>
      </c>
      <c r="K441" s="103" t="e">
        <f t="shared" ca="1" si="87"/>
        <v>#REF!</v>
      </c>
      <c r="L441" s="103" t="e">
        <f t="shared" ca="1" si="88"/>
        <v>#REF!</v>
      </c>
      <c r="M441" s="103" t="e">
        <f t="shared" ca="1" si="89"/>
        <v>#REF!</v>
      </c>
      <c r="N441" s="104" t="e">
        <f t="shared" ca="1" si="90"/>
        <v>#REF!</v>
      </c>
    </row>
    <row r="442" spans="1:14">
      <c r="A442" s="96">
        <v>404</v>
      </c>
      <c r="B442" s="102" t="e">
        <f t="shared" ca="1" si="78"/>
        <v>#REF!</v>
      </c>
      <c r="C442" s="102" t="e">
        <f t="shared" ca="1" si="79"/>
        <v>#REF!</v>
      </c>
      <c r="D442" s="102" t="e">
        <f t="shared" ca="1" si="80"/>
        <v>#REF!</v>
      </c>
      <c r="E442" s="102" t="e">
        <f t="shared" ca="1" si="81"/>
        <v>#REF!</v>
      </c>
      <c r="F442" s="102" t="e">
        <f t="shared" ca="1" si="82"/>
        <v>#REF!</v>
      </c>
      <c r="G442" s="103">
        <f t="shared" ca="1" si="83"/>
        <v>0.4181079787237244</v>
      </c>
      <c r="H442" s="103">
        <f t="shared" ca="1" si="84"/>
        <v>0.20811764270304969</v>
      </c>
      <c r="I442" s="103" t="e">
        <f t="shared" ca="1" si="85"/>
        <v>#REF!</v>
      </c>
      <c r="J442" s="103" t="e">
        <f t="shared" ca="1" si="86"/>
        <v>#REF!</v>
      </c>
      <c r="K442" s="103" t="e">
        <f t="shared" ca="1" si="87"/>
        <v>#REF!</v>
      </c>
      <c r="L442" s="103" t="e">
        <f t="shared" ca="1" si="88"/>
        <v>#REF!</v>
      </c>
      <c r="M442" s="103" t="e">
        <f t="shared" ca="1" si="89"/>
        <v>#REF!</v>
      </c>
      <c r="N442" s="104" t="e">
        <f t="shared" ca="1" si="90"/>
        <v>#REF!</v>
      </c>
    </row>
    <row r="443" spans="1:14">
      <c r="A443" s="95">
        <v>405</v>
      </c>
      <c r="B443" s="102" t="e">
        <f t="shared" ca="1" si="78"/>
        <v>#REF!</v>
      </c>
      <c r="C443" s="102" t="e">
        <f t="shared" ca="1" si="79"/>
        <v>#REF!</v>
      </c>
      <c r="D443" s="102" t="e">
        <f t="shared" ca="1" si="80"/>
        <v>#REF!</v>
      </c>
      <c r="E443" s="102" t="e">
        <f t="shared" ca="1" si="81"/>
        <v>#REF!</v>
      </c>
      <c r="F443" s="102" t="e">
        <f t="shared" ca="1" si="82"/>
        <v>#REF!</v>
      </c>
      <c r="G443" s="103">
        <f t="shared" ca="1" si="83"/>
        <v>0.44580340513380157</v>
      </c>
      <c r="H443" s="103">
        <f t="shared" ca="1" si="84"/>
        <v>0.21014094861515875</v>
      </c>
      <c r="I443" s="103" t="e">
        <f t="shared" ca="1" si="85"/>
        <v>#REF!</v>
      </c>
      <c r="J443" s="103" t="e">
        <f t="shared" ca="1" si="86"/>
        <v>#REF!</v>
      </c>
      <c r="K443" s="103" t="e">
        <f t="shared" ca="1" si="87"/>
        <v>#REF!</v>
      </c>
      <c r="L443" s="103" t="e">
        <f t="shared" ca="1" si="88"/>
        <v>#REF!</v>
      </c>
      <c r="M443" s="103" t="e">
        <f t="shared" ca="1" si="89"/>
        <v>#REF!</v>
      </c>
      <c r="N443" s="104" t="e">
        <f t="shared" ca="1" si="90"/>
        <v>#REF!</v>
      </c>
    </row>
    <row r="444" spans="1:14">
      <c r="A444" s="96">
        <v>406</v>
      </c>
      <c r="B444" s="102" t="e">
        <f t="shared" ca="1" si="78"/>
        <v>#REF!</v>
      </c>
      <c r="C444" s="102" t="e">
        <f t="shared" ca="1" si="79"/>
        <v>#REF!</v>
      </c>
      <c r="D444" s="102" t="e">
        <f t="shared" ca="1" si="80"/>
        <v>#REF!</v>
      </c>
      <c r="E444" s="102" t="e">
        <f t="shared" ca="1" si="81"/>
        <v>#REF!</v>
      </c>
      <c r="F444" s="102" t="e">
        <f t="shared" ca="1" si="82"/>
        <v>#REF!</v>
      </c>
      <c r="G444" s="103">
        <f t="shared" ca="1" si="83"/>
        <v>0.45904444421544388</v>
      </c>
      <c r="H444" s="103">
        <f t="shared" ca="1" si="84"/>
        <v>0.21630449666519591</v>
      </c>
      <c r="I444" s="103" t="e">
        <f t="shared" ca="1" si="85"/>
        <v>#REF!</v>
      </c>
      <c r="J444" s="103" t="e">
        <f t="shared" ca="1" si="86"/>
        <v>#REF!</v>
      </c>
      <c r="K444" s="103" t="e">
        <f t="shared" ca="1" si="87"/>
        <v>#REF!</v>
      </c>
      <c r="L444" s="103" t="e">
        <f t="shared" ca="1" si="88"/>
        <v>#REF!</v>
      </c>
      <c r="M444" s="103" t="e">
        <f t="shared" ca="1" si="89"/>
        <v>#REF!</v>
      </c>
      <c r="N444" s="104" t="e">
        <f t="shared" ca="1" si="90"/>
        <v>#REF!</v>
      </c>
    </row>
    <row r="445" spans="1:14">
      <c r="A445" s="95">
        <v>407</v>
      </c>
      <c r="B445" s="102" t="e">
        <f t="shared" ca="1" si="78"/>
        <v>#REF!</v>
      </c>
      <c r="C445" s="102" t="e">
        <f t="shared" ca="1" si="79"/>
        <v>#REF!</v>
      </c>
      <c r="D445" s="102" t="e">
        <f t="shared" ca="1" si="80"/>
        <v>#REF!</v>
      </c>
      <c r="E445" s="102" t="e">
        <f t="shared" ca="1" si="81"/>
        <v>#REF!</v>
      </c>
      <c r="F445" s="102" t="e">
        <f t="shared" ca="1" si="82"/>
        <v>#REF!</v>
      </c>
      <c r="G445" s="103">
        <f t="shared" ca="1" si="83"/>
        <v>0.43342157118276781</v>
      </c>
      <c r="H445" s="103">
        <f t="shared" ca="1" si="84"/>
        <v>0.19820221491379839</v>
      </c>
      <c r="I445" s="103" t="e">
        <f t="shared" ca="1" si="85"/>
        <v>#REF!</v>
      </c>
      <c r="J445" s="103" t="e">
        <f t="shared" ca="1" si="86"/>
        <v>#REF!</v>
      </c>
      <c r="K445" s="103" t="e">
        <f t="shared" ca="1" si="87"/>
        <v>#REF!</v>
      </c>
      <c r="L445" s="103" t="e">
        <f t="shared" ca="1" si="88"/>
        <v>#REF!</v>
      </c>
      <c r="M445" s="103" t="e">
        <f t="shared" ca="1" si="89"/>
        <v>#REF!</v>
      </c>
      <c r="N445" s="104" t="e">
        <f t="shared" ca="1" si="90"/>
        <v>#REF!</v>
      </c>
    </row>
    <row r="446" spans="1:14">
      <c r="A446" s="96">
        <v>408</v>
      </c>
      <c r="B446" s="102" t="e">
        <f t="shared" ca="1" si="78"/>
        <v>#REF!</v>
      </c>
      <c r="C446" s="102" t="e">
        <f t="shared" ca="1" si="79"/>
        <v>#REF!</v>
      </c>
      <c r="D446" s="102" t="e">
        <f t="shared" ca="1" si="80"/>
        <v>#REF!</v>
      </c>
      <c r="E446" s="102" t="e">
        <f t="shared" ca="1" si="81"/>
        <v>#REF!</v>
      </c>
      <c r="F446" s="102" t="e">
        <f t="shared" ca="1" si="82"/>
        <v>#REF!</v>
      </c>
      <c r="G446" s="103">
        <f t="shared" ca="1" si="83"/>
        <v>0.44509271053187266</v>
      </c>
      <c r="H446" s="103">
        <f t="shared" ca="1" si="84"/>
        <v>0.19835392804283361</v>
      </c>
      <c r="I446" s="103" t="e">
        <f t="shared" ca="1" si="85"/>
        <v>#REF!</v>
      </c>
      <c r="J446" s="103" t="e">
        <f t="shared" ca="1" si="86"/>
        <v>#REF!</v>
      </c>
      <c r="K446" s="103" t="e">
        <f t="shared" ca="1" si="87"/>
        <v>#REF!</v>
      </c>
      <c r="L446" s="103" t="e">
        <f t="shared" ca="1" si="88"/>
        <v>#REF!</v>
      </c>
      <c r="M446" s="103" t="e">
        <f t="shared" ca="1" si="89"/>
        <v>#REF!</v>
      </c>
      <c r="N446" s="104" t="e">
        <f t="shared" ca="1" si="90"/>
        <v>#REF!</v>
      </c>
    </row>
    <row r="447" spans="1:14">
      <c r="A447" s="95">
        <v>409</v>
      </c>
      <c r="B447" s="102" t="e">
        <f t="shared" ca="1" si="78"/>
        <v>#REF!</v>
      </c>
      <c r="C447" s="102" t="e">
        <f t="shared" ca="1" si="79"/>
        <v>#REF!</v>
      </c>
      <c r="D447" s="102" t="e">
        <f t="shared" ca="1" si="80"/>
        <v>#REF!</v>
      </c>
      <c r="E447" s="102" t="e">
        <f t="shared" ca="1" si="81"/>
        <v>#REF!</v>
      </c>
      <c r="F447" s="102" t="e">
        <f t="shared" ca="1" si="82"/>
        <v>#REF!</v>
      </c>
      <c r="G447" s="103">
        <f t="shared" ca="1" si="83"/>
        <v>0.39308719548818782</v>
      </c>
      <c r="H447" s="103">
        <f t="shared" ca="1" si="84"/>
        <v>0.18498748688300248</v>
      </c>
      <c r="I447" s="103" t="e">
        <f t="shared" ca="1" si="85"/>
        <v>#REF!</v>
      </c>
      <c r="J447" s="103" t="e">
        <f t="shared" ca="1" si="86"/>
        <v>#REF!</v>
      </c>
      <c r="K447" s="103" t="e">
        <f t="shared" ca="1" si="87"/>
        <v>#REF!</v>
      </c>
      <c r="L447" s="103" t="e">
        <f t="shared" ca="1" si="88"/>
        <v>#REF!</v>
      </c>
      <c r="M447" s="103" t="e">
        <f t="shared" ca="1" si="89"/>
        <v>#REF!</v>
      </c>
      <c r="N447" s="104" t="e">
        <f t="shared" ca="1" si="90"/>
        <v>#REF!</v>
      </c>
    </row>
    <row r="448" spans="1:14">
      <c r="A448" s="96">
        <v>410</v>
      </c>
      <c r="B448" s="102" t="e">
        <f t="shared" ca="1" si="78"/>
        <v>#REF!</v>
      </c>
      <c r="C448" s="102" t="e">
        <f t="shared" ca="1" si="79"/>
        <v>#REF!</v>
      </c>
      <c r="D448" s="102" t="e">
        <f t="shared" ca="1" si="80"/>
        <v>#REF!</v>
      </c>
      <c r="E448" s="102" t="e">
        <f t="shared" ca="1" si="81"/>
        <v>#REF!</v>
      </c>
      <c r="F448" s="102" t="e">
        <f t="shared" ca="1" si="82"/>
        <v>#REF!</v>
      </c>
      <c r="G448" s="103">
        <f t="shared" ca="1" si="83"/>
        <v>0.43654478994161156</v>
      </c>
      <c r="H448" s="103">
        <f t="shared" ca="1" si="84"/>
        <v>0.21423471673059966</v>
      </c>
      <c r="I448" s="103" t="e">
        <f t="shared" ca="1" si="85"/>
        <v>#REF!</v>
      </c>
      <c r="J448" s="103" t="e">
        <f t="shared" ca="1" si="86"/>
        <v>#REF!</v>
      </c>
      <c r="K448" s="103" t="e">
        <f t="shared" ca="1" si="87"/>
        <v>#REF!</v>
      </c>
      <c r="L448" s="103" t="e">
        <f t="shared" ca="1" si="88"/>
        <v>#REF!</v>
      </c>
      <c r="M448" s="103" t="e">
        <f t="shared" ca="1" si="89"/>
        <v>#REF!</v>
      </c>
      <c r="N448" s="104" t="e">
        <f t="shared" ca="1" si="90"/>
        <v>#REF!</v>
      </c>
    </row>
    <row r="449" spans="1:14">
      <c r="A449" s="95">
        <v>411</v>
      </c>
      <c r="B449" s="102" t="e">
        <f t="shared" ca="1" si="78"/>
        <v>#REF!</v>
      </c>
      <c r="C449" s="102" t="e">
        <f t="shared" ca="1" si="79"/>
        <v>#REF!</v>
      </c>
      <c r="D449" s="102" t="e">
        <f t="shared" ca="1" si="80"/>
        <v>#REF!</v>
      </c>
      <c r="E449" s="102" t="e">
        <f t="shared" ca="1" si="81"/>
        <v>#REF!</v>
      </c>
      <c r="F449" s="102" t="e">
        <f t="shared" ca="1" si="82"/>
        <v>#REF!</v>
      </c>
      <c r="G449" s="103">
        <f t="shared" ca="1" si="83"/>
        <v>0.42914982420566605</v>
      </c>
      <c r="H449" s="103">
        <f t="shared" ca="1" si="84"/>
        <v>0.18821580577213243</v>
      </c>
      <c r="I449" s="103" t="e">
        <f t="shared" ca="1" si="85"/>
        <v>#REF!</v>
      </c>
      <c r="J449" s="103" t="e">
        <f t="shared" ca="1" si="86"/>
        <v>#REF!</v>
      </c>
      <c r="K449" s="103" t="e">
        <f t="shared" ca="1" si="87"/>
        <v>#REF!</v>
      </c>
      <c r="L449" s="103" t="e">
        <f t="shared" ca="1" si="88"/>
        <v>#REF!</v>
      </c>
      <c r="M449" s="103" t="e">
        <f t="shared" ca="1" si="89"/>
        <v>#REF!</v>
      </c>
      <c r="N449" s="104" t="e">
        <f t="shared" ca="1" si="90"/>
        <v>#REF!</v>
      </c>
    </row>
    <row r="450" spans="1:14">
      <c r="A450" s="96">
        <v>412</v>
      </c>
      <c r="B450" s="102" t="e">
        <f t="shared" ca="1" si="78"/>
        <v>#REF!</v>
      </c>
      <c r="C450" s="102" t="e">
        <f t="shared" ca="1" si="79"/>
        <v>#REF!</v>
      </c>
      <c r="D450" s="102" t="e">
        <f t="shared" ca="1" si="80"/>
        <v>#REF!</v>
      </c>
      <c r="E450" s="102" t="e">
        <f t="shared" ca="1" si="81"/>
        <v>#REF!</v>
      </c>
      <c r="F450" s="102" t="e">
        <f t="shared" ca="1" si="82"/>
        <v>#REF!</v>
      </c>
      <c r="G450" s="103">
        <f t="shared" ca="1" si="83"/>
        <v>0.43489399670817658</v>
      </c>
      <c r="H450" s="103">
        <f t="shared" ca="1" si="84"/>
        <v>0.1869936593980987</v>
      </c>
      <c r="I450" s="103" t="e">
        <f t="shared" ca="1" si="85"/>
        <v>#REF!</v>
      </c>
      <c r="J450" s="103" t="e">
        <f t="shared" ca="1" si="86"/>
        <v>#REF!</v>
      </c>
      <c r="K450" s="103" t="e">
        <f t="shared" ca="1" si="87"/>
        <v>#REF!</v>
      </c>
      <c r="L450" s="103" t="e">
        <f t="shared" ca="1" si="88"/>
        <v>#REF!</v>
      </c>
      <c r="M450" s="103" t="e">
        <f t="shared" ca="1" si="89"/>
        <v>#REF!</v>
      </c>
      <c r="N450" s="104" t="e">
        <f t="shared" ca="1" si="90"/>
        <v>#REF!</v>
      </c>
    </row>
    <row r="451" spans="1:14">
      <c r="A451" s="95">
        <v>413</v>
      </c>
      <c r="B451" s="102" t="e">
        <f t="shared" ca="1" si="78"/>
        <v>#REF!</v>
      </c>
      <c r="C451" s="102" t="e">
        <f t="shared" ca="1" si="79"/>
        <v>#REF!</v>
      </c>
      <c r="D451" s="102" t="e">
        <f t="shared" ca="1" si="80"/>
        <v>#REF!</v>
      </c>
      <c r="E451" s="102" t="e">
        <f t="shared" ca="1" si="81"/>
        <v>#REF!</v>
      </c>
      <c r="F451" s="102" t="e">
        <f t="shared" ca="1" si="82"/>
        <v>#REF!</v>
      </c>
      <c r="G451" s="103">
        <f t="shared" ca="1" si="83"/>
        <v>0.44635107642572669</v>
      </c>
      <c r="H451" s="103">
        <f t="shared" ca="1" si="84"/>
        <v>0.19494004398399012</v>
      </c>
      <c r="I451" s="103" t="e">
        <f t="shared" ca="1" si="85"/>
        <v>#REF!</v>
      </c>
      <c r="J451" s="103" t="e">
        <f t="shared" ca="1" si="86"/>
        <v>#REF!</v>
      </c>
      <c r="K451" s="103" t="e">
        <f t="shared" ca="1" si="87"/>
        <v>#REF!</v>
      </c>
      <c r="L451" s="103" t="e">
        <f t="shared" ca="1" si="88"/>
        <v>#REF!</v>
      </c>
      <c r="M451" s="103" t="e">
        <f t="shared" ca="1" si="89"/>
        <v>#REF!</v>
      </c>
      <c r="N451" s="104" t="e">
        <f t="shared" ca="1" si="90"/>
        <v>#REF!</v>
      </c>
    </row>
    <row r="452" spans="1:14">
      <c r="A452" s="96">
        <v>414</v>
      </c>
      <c r="B452" s="102" t="e">
        <f t="shared" ca="1" si="78"/>
        <v>#REF!</v>
      </c>
      <c r="C452" s="102" t="e">
        <f t="shared" ca="1" si="79"/>
        <v>#REF!</v>
      </c>
      <c r="D452" s="102" t="e">
        <f t="shared" ca="1" si="80"/>
        <v>#REF!</v>
      </c>
      <c r="E452" s="102" t="e">
        <f t="shared" ca="1" si="81"/>
        <v>#REF!</v>
      </c>
      <c r="F452" s="102" t="e">
        <f t="shared" ca="1" si="82"/>
        <v>#REF!</v>
      </c>
      <c r="G452" s="103">
        <f t="shared" ca="1" si="83"/>
        <v>0.42462540459216991</v>
      </c>
      <c r="H452" s="103">
        <f t="shared" ca="1" si="84"/>
        <v>0.22691354471989506</v>
      </c>
      <c r="I452" s="103" t="e">
        <f t="shared" ca="1" si="85"/>
        <v>#REF!</v>
      </c>
      <c r="J452" s="103" t="e">
        <f t="shared" ca="1" si="86"/>
        <v>#REF!</v>
      </c>
      <c r="K452" s="103" t="e">
        <f t="shared" ca="1" si="87"/>
        <v>#REF!</v>
      </c>
      <c r="L452" s="103" t="e">
        <f t="shared" ca="1" si="88"/>
        <v>#REF!</v>
      </c>
      <c r="M452" s="103" t="e">
        <f t="shared" ca="1" si="89"/>
        <v>#REF!</v>
      </c>
      <c r="N452" s="104" t="e">
        <f t="shared" ca="1" si="90"/>
        <v>#REF!</v>
      </c>
    </row>
    <row r="453" spans="1:14">
      <c r="A453" s="95">
        <v>415</v>
      </c>
      <c r="B453" s="102" t="e">
        <f t="shared" ca="1" si="78"/>
        <v>#REF!</v>
      </c>
      <c r="C453" s="102" t="e">
        <f t="shared" ca="1" si="79"/>
        <v>#REF!</v>
      </c>
      <c r="D453" s="102" t="e">
        <f t="shared" ca="1" si="80"/>
        <v>#REF!</v>
      </c>
      <c r="E453" s="102" t="e">
        <f t="shared" ca="1" si="81"/>
        <v>#REF!</v>
      </c>
      <c r="F453" s="102" t="e">
        <f t="shared" ca="1" si="82"/>
        <v>#REF!</v>
      </c>
      <c r="G453" s="103">
        <f t="shared" ca="1" si="83"/>
        <v>0.44290156098764488</v>
      </c>
      <c r="H453" s="103">
        <f t="shared" ca="1" si="84"/>
        <v>0.21639722712488624</v>
      </c>
      <c r="I453" s="103" t="e">
        <f t="shared" ca="1" si="85"/>
        <v>#REF!</v>
      </c>
      <c r="J453" s="103" t="e">
        <f t="shared" ca="1" si="86"/>
        <v>#REF!</v>
      </c>
      <c r="K453" s="103" t="e">
        <f t="shared" ca="1" si="87"/>
        <v>#REF!</v>
      </c>
      <c r="L453" s="103" t="e">
        <f t="shared" ca="1" si="88"/>
        <v>#REF!</v>
      </c>
      <c r="M453" s="103" t="e">
        <f t="shared" ca="1" si="89"/>
        <v>#REF!</v>
      </c>
      <c r="N453" s="104" t="e">
        <f t="shared" ca="1" si="90"/>
        <v>#REF!</v>
      </c>
    </row>
    <row r="454" spans="1:14">
      <c r="A454" s="96">
        <v>416</v>
      </c>
      <c r="B454" s="102" t="e">
        <f t="shared" ca="1" si="78"/>
        <v>#REF!</v>
      </c>
      <c r="C454" s="102" t="e">
        <f t="shared" ca="1" si="79"/>
        <v>#REF!</v>
      </c>
      <c r="D454" s="102" t="e">
        <f t="shared" ca="1" si="80"/>
        <v>#REF!</v>
      </c>
      <c r="E454" s="102" t="e">
        <f t="shared" ca="1" si="81"/>
        <v>#REF!</v>
      </c>
      <c r="F454" s="102" t="e">
        <f t="shared" ca="1" si="82"/>
        <v>#REF!</v>
      </c>
      <c r="G454" s="103">
        <f t="shared" ca="1" si="83"/>
        <v>0.42510017632401614</v>
      </c>
      <c r="H454" s="103">
        <f t="shared" ca="1" si="84"/>
        <v>0.17368525451778011</v>
      </c>
      <c r="I454" s="103" t="e">
        <f t="shared" ca="1" si="85"/>
        <v>#REF!</v>
      </c>
      <c r="J454" s="103" t="e">
        <f t="shared" ca="1" si="86"/>
        <v>#REF!</v>
      </c>
      <c r="K454" s="103" t="e">
        <f t="shared" ca="1" si="87"/>
        <v>#REF!</v>
      </c>
      <c r="L454" s="103" t="e">
        <f t="shared" ca="1" si="88"/>
        <v>#REF!</v>
      </c>
      <c r="M454" s="103" t="e">
        <f t="shared" ca="1" si="89"/>
        <v>#REF!</v>
      </c>
      <c r="N454" s="104" t="e">
        <f t="shared" ca="1" si="90"/>
        <v>#REF!</v>
      </c>
    </row>
    <row r="455" spans="1:14">
      <c r="A455" s="95">
        <v>417</v>
      </c>
      <c r="B455" s="102" t="e">
        <f t="shared" ca="1" si="78"/>
        <v>#REF!</v>
      </c>
      <c r="C455" s="102" t="e">
        <f t="shared" ca="1" si="79"/>
        <v>#REF!</v>
      </c>
      <c r="D455" s="102" t="e">
        <f t="shared" ca="1" si="80"/>
        <v>#REF!</v>
      </c>
      <c r="E455" s="102" t="e">
        <f t="shared" ca="1" si="81"/>
        <v>#REF!</v>
      </c>
      <c r="F455" s="102" t="e">
        <f t="shared" ca="1" si="82"/>
        <v>#REF!</v>
      </c>
      <c r="G455" s="103">
        <f t="shared" ca="1" si="83"/>
        <v>0.44371691087423254</v>
      </c>
      <c r="H455" s="103">
        <f t="shared" ca="1" si="84"/>
        <v>0.19651763728522409</v>
      </c>
      <c r="I455" s="103" t="e">
        <f t="shared" ca="1" si="85"/>
        <v>#REF!</v>
      </c>
      <c r="J455" s="103" t="e">
        <f t="shared" ca="1" si="86"/>
        <v>#REF!</v>
      </c>
      <c r="K455" s="103" t="e">
        <f t="shared" ca="1" si="87"/>
        <v>#REF!</v>
      </c>
      <c r="L455" s="103" t="e">
        <f t="shared" ca="1" si="88"/>
        <v>#REF!</v>
      </c>
      <c r="M455" s="103" t="e">
        <f t="shared" ca="1" si="89"/>
        <v>#REF!</v>
      </c>
      <c r="N455" s="104" t="e">
        <f t="shared" ca="1" si="90"/>
        <v>#REF!</v>
      </c>
    </row>
    <row r="456" spans="1:14">
      <c r="A456" s="96">
        <v>418</v>
      </c>
      <c r="B456" s="102" t="e">
        <f t="shared" ca="1" si="78"/>
        <v>#REF!</v>
      </c>
      <c r="C456" s="102" t="e">
        <f t="shared" ca="1" si="79"/>
        <v>#REF!</v>
      </c>
      <c r="D456" s="102" t="e">
        <f t="shared" ca="1" si="80"/>
        <v>#REF!</v>
      </c>
      <c r="E456" s="102" t="e">
        <f t="shared" ca="1" si="81"/>
        <v>#REF!</v>
      </c>
      <c r="F456" s="102" t="e">
        <f t="shared" ca="1" si="82"/>
        <v>#REF!</v>
      </c>
      <c r="G456" s="103">
        <f t="shared" ca="1" si="83"/>
        <v>0.40940412787172215</v>
      </c>
      <c r="H456" s="103">
        <f t="shared" ca="1" si="84"/>
        <v>0.19819211374726955</v>
      </c>
      <c r="I456" s="103" t="e">
        <f t="shared" ca="1" si="85"/>
        <v>#REF!</v>
      </c>
      <c r="J456" s="103" t="e">
        <f t="shared" ca="1" si="86"/>
        <v>#REF!</v>
      </c>
      <c r="K456" s="103" t="e">
        <f t="shared" ca="1" si="87"/>
        <v>#REF!</v>
      </c>
      <c r="L456" s="103" t="e">
        <f t="shared" ca="1" si="88"/>
        <v>#REF!</v>
      </c>
      <c r="M456" s="103" t="e">
        <f t="shared" ca="1" si="89"/>
        <v>#REF!</v>
      </c>
      <c r="N456" s="104" t="e">
        <f t="shared" ca="1" si="90"/>
        <v>#REF!</v>
      </c>
    </row>
    <row r="457" spans="1:14">
      <c r="A457" s="95">
        <v>419</v>
      </c>
      <c r="B457" s="102" t="e">
        <f t="shared" ca="1" si="78"/>
        <v>#REF!</v>
      </c>
      <c r="C457" s="102" t="e">
        <f t="shared" ca="1" si="79"/>
        <v>#REF!</v>
      </c>
      <c r="D457" s="102" t="e">
        <f t="shared" ca="1" si="80"/>
        <v>#REF!</v>
      </c>
      <c r="E457" s="102" t="e">
        <f t="shared" ca="1" si="81"/>
        <v>#REF!</v>
      </c>
      <c r="F457" s="102" t="e">
        <f t="shared" ca="1" si="82"/>
        <v>#REF!</v>
      </c>
      <c r="G457" s="103">
        <f t="shared" ca="1" si="83"/>
        <v>0.41815748274440939</v>
      </c>
      <c r="H457" s="103">
        <f t="shared" ca="1" si="84"/>
        <v>0.23364056988986726</v>
      </c>
      <c r="I457" s="103" t="e">
        <f t="shared" ca="1" si="85"/>
        <v>#REF!</v>
      </c>
      <c r="J457" s="103" t="e">
        <f t="shared" ca="1" si="86"/>
        <v>#REF!</v>
      </c>
      <c r="K457" s="103" t="e">
        <f t="shared" ca="1" si="87"/>
        <v>#REF!</v>
      </c>
      <c r="L457" s="103" t="e">
        <f t="shared" ca="1" si="88"/>
        <v>#REF!</v>
      </c>
      <c r="M457" s="103" t="e">
        <f t="shared" ca="1" si="89"/>
        <v>#REF!</v>
      </c>
      <c r="N457" s="104" t="e">
        <f t="shared" ca="1" si="90"/>
        <v>#REF!</v>
      </c>
    </row>
    <row r="458" spans="1:14">
      <c r="A458" s="96">
        <v>420</v>
      </c>
      <c r="B458" s="102" t="e">
        <f t="shared" ca="1" si="78"/>
        <v>#REF!</v>
      </c>
      <c r="C458" s="102" t="e">
        <f t="shared" ca="1" si="79"/>
        <v>#REF!</v>
      </c>
      <c r="D458" s="102" t="e">
        <f t="shared" ca="1" si="80"/>
        <v>#REF!</v>
      </c>
      <c r="E458" s="102" t="e">
        <f t="shared" ca="1" si="81"/>
        <v>#REF!</v>
      </c>
      <c r="F458" s="102" t="e">
        <f t="shared" ca="1" si="82"/>
        <v>#REF!</v>
      </c>
      <c r="G458" s="103">
        <f t="shared" ca="1" si="83"/>
        <v>0.40600802932681901</v>
      </c>
      <c r="H458" s="103">
        <f t="shared" ca="1" si="84"/>
        <v>0.20834534193871063</v>
      </c>
      <c r="I458" s="103" t="e">
        <f t="shared" ca="1" si="85"/>
        <v>#REF!</v>
      </c>
      <c r="J458" s="103" t="e">
        <f t="shared" ca="1" si="86"/>
        <v>#REF!</v>
      </c>
      <c r="K458" s="103" t="e">
        <f t="shared" ca="1" si="87"/>
        <v>#REF!</v>
      </c>
      <c r="L458" s="103" t="e">
        <f t="shared" ca="1" si="88"/>
        <v>#REF!</v>
      </c>
      <c r="M458" s="103" t="e">
        <f t="shared" ca="1" si="89"/>
        <v>#REF!</v>
      </c>
      <c r="N458" s="104" t="e">
        <f t="shared" ca="1" si="90"/>
        <v>#REF!</v>
      </c>
    </row>
    <row r="459" spans="1:14">
      <c r="A459" s="95">
        <v>421</v>
      </c>
      <c r="B459" s="102" t="e">
        <f t="shared" ca="1" si="78"/>
        <v>#REF!</v>
      </c>
      <c r="C459" s="102" t="e">
        <f t="shared" ca="1" si="79"/>
        <v>#REF!</v>
      </c>
      <c r="D459" s="102" t="e">
        <f t="shared" ca="1" si="80"/>
        <v>#REF!</v>
      </c>
      <c r="E459" s="102" t="e">
        <f t="shared" ca="1" si="81"/>
        <v>#REF!</v>
      </c>
      <c r="F459" s="102" t="e">
        <f t="shared" ca="1" si="82"/>
        <v>#REF!</v>
      </c>
      <c r="G459" s="103">
        <f t="shared" ca="1" si="83"/>
        <v>0.41435950886834216</v>
      </c>
      <c r="H459" s="103">
        <f t="shared" ca="1" si="84"/>
        <v>0.1807033077574306</v>
      </c>
      <c r="I459" s="103" t="e">
        <f t="shared" ca="1" si="85"/>
        <v>#REF!</v>
      </c>
      <c r="J459" s="103" t="e">
        <f t="shared" ca="1" si="86"/>
        <v>#REF!</v>
      </c>
      <c r="K459" s="103" t="e">
        <f t="shared" ca="1" si="87"/>
        <v>#REF!</v>
      </c>
      <c r="L459" s="103" t="e">
        <f t="shared" ca="1" si="88"/>
        <v>#REF!</v>
      </c>
      <c r="M459" s="103" t="e">
        <f t="shared" ca="1" si="89"/>
        <v>#REF!</v>
      </c>
      <c r="N459" s="104" t="e">
        <f t="shared" ca="1" si="90"/>
        <v>#REF!</v>
      </c>
    </row>
    <row r="460" spans="1:14">
      <c r="A460" s="96">
        <v>422</v>
      </c>
      <c r="B460" s="102" t="e">
        <f t="shared" ca="1" si="78"/>
        <v>#REF!</v>
      </c>
      <c r="C460" s="102" t="e">
        <f t="shared" ca="1" si="79"/>
        <v>#REF!</v>
      </c>
      <c r="D460" s="102" t="e">
        <f t="shared" ca="1" si="80"/>
        <v>#REF!</v>
      </c>
      <c r="E460" s="102" t="e">
        <f t="shared" ca="1" si="81"/>
        <v>#REF!</v>
      </c>
      <c r="F460" s="102" t="e">
        <f t="shared" ca="1" si="82"/>
        <v>#REF!</v>
      </c>
      <c r="G460" s="103">
        <f t="shared" ca="1" si="83"/>
        <v>0.41843498001942153</v>
      </c>
      <c r="H460" s="103">
        <f t="shared" ca="1" si="84"/>
        <v>0.22465257196140892</v>
      </c>
      <c r="I460" s="103" t="e">
        <f t="shared" ca="1" si="85"/>
        <v>#REF!</v>
      </c>
      <c r="J460" s="103" t="e">
        <f t="shared" ca="1" si="86"/>
        <v>#REF!</v>
      </c>
      <c r="K460" s="103" t="e">
        <f t="shared" ca="1" si="87"/>
        <v>#REF!</v>
      </c>
      <c r="L460" s="103" t="e">
        <f t="shared" ca="1" si="88"/>
        <v>#REF!</v>
      </c>
      <c r="M460" s="103" t="e">
        <f t="shared" ca="1" si="89"/>
        <v>#REF!</v>
      </c>
      <c r="N460" s="104" t="e">
        <f t="shared" ca="1" si="90"/>
        <v>#REF!</v>
      </c>
    </row>
    <row r="461" spans="1:14">
      <c r="A461" s="95">
        <v>423</v>
      </c>
      <c r="B461" s="102" t="e">
        <f t="shared" ca="1" si="78"/>
        <v>#REF!</v>
      </c>
      <c r="C461" s="102" t="e">
        <f t="shared" ca="1" si="79"/>
        <v>#REF!</v>
      </c>
      <c r="D461" s="102" t="e">
        <f t="shared" ca="1" si="80"/>
        <v>#REF!</v>
      </c>
      <c r="E461" s="102" t="e">
        <f t="shared" ca="1" si="81"/>
        <v>#REF!</v>
      </c>
      <c r="F461" s="102" t="e">
        <f t="shared" ca="1" si="82"/>
        <v>#REF!</v>
      </c>
      <c r="G461" s="103">
        <f t="shared" ca="1" si="83"/>
        <v>0.42305988494569141</v>
      </c>
      <c r="H461" s="103">
        <f t="shared" ca="1" si="84"/>
        <v>0.17694926632217634</v>
      </c>
      <c r="I461" s="103" t="e">
        <f t="shared" ca="1" si="85"/>
        <v>#REF!</v>
      </c>
      <c r="J461" s="103" t="e">
        <f t="shared" ca="1" si="86"/>
        <v>#REF!</v>
      </c>
      <c r="K461" s="103" t="e">
        <f t="shared" ca="1" si="87"/>
        <v>#REF!</v>
      </c>
      <c r="L461" s="103" t="e">
        <f t="shared" ca="1" si="88"/>
        <v>#REF!</v>
      </c>
      <c r="M461" s="103" t="e">
        <f t="shared" ca="1" si="89"/>
        <v>#REF!</v>
      </c>
      <c r="N461" s="104" t="e">
        <f t="shared" ca="1" si="90"/>
        <v>#REF!</v>
      </c>
    </row>
    <row r="462" spans="1:14">
      <c r="A462" s="96">
        <v>424</v>
      </c>
      <c r="B462" s="102" t="e">
        <f t="shared" ca="1" si="78"/>
        <v>#REF!</v>
      </c>
      <c r="C462" s="102" t="e">
        <f t="shared" ca="1" si="79"/>
        <v>#REF!</v>
      </c>
      <c r="D462" s="102" t="e">
        <f t="shared" ca="1" si="80"/>
        <v>#REF!</v>
      </c>
      <c r="E462" s="102" t="e">
        <f t="shared" ca="1" si="81"/>
        <v>#REF!</v>
      </c>
      <c r="F462" s="102" t="e">
        <f t="shared" ca="1" si="82"/>
        <v>#REF!</v>
      </c>
      <c r="G462" s="103">
        <f t="shared" ca="1" si="83"/>
        <v>0.42770733885003837</v>
      </c>
      <c r="H462" s="103">
        <f t="shared" ca="1" si="84"/>
        <v>0.18735939683278341</v>
      </c>
      <c r="I462" s="103" t="e">
        <f t="shared" ca="1" si="85"/>
        <v>#REF!</v>
      </c>
      <c r="J462" s="103" t="e">
        <f t="shared" ca="1" si="86"/>
        <v>#REF!</v>
      </c>
      <c r="K462" s="103" t="e">
        <f t="shared" ca="1" si="87"/>
        <v>#REF!</v>
      </c>
      <c r="L462" s="103" t="e">
        <f t="shared" ca="1" si="88"/>
        <v>#REF!</v>
      </c>
      <c r="M462" s="103" t="e">
        <f t="shared" ca="1" si="89"/>
        <v>#REF!</v>
      </c>
      <c r="N462" s="104" t="e">
        <f t="shared" ca="1" si="90"/>
        <v>#REF!</v>
      </c>
    </row>
    <row r="463" spans="1:14">
      <c r="A463" s="95">
        <v>425</v>
      </c>
      <c r="B463" s="102" t="e">
        <f t="shared" ca="1" si="78"/>
        <v>#REF!</v>
      </c>
      <c r="C463" s="102" t="e">
        <f t="shared" ca="1" si="79"/>
        <v>#REF!</v>
      </c>
      <c r="D463" s="102" t="e">
        <f t="shared" ca="1" si="80"/>
        <v>#REF!</v>
      </c>
      <c r="E463" s="102" t="e">
        <f t="shared" ca="1" si="81"/>
        <v>#REF!</v>
      </c>
      <c r="F463" s="102" t="e">
        <f t="shared" ca="1" si="82"/>
        <v>#REF!</v>
      </c>
      <c r="G463" s="103">
        <f t="shared" ca="1" si="83"/>
        <v>0.42597164453384206</v>
      </c>
      <c r="H463" s="103">
        <f t="shared" ca="1" si="84"/>
        <v>0.19736496512666676</v>
      </c>
      <c r="I463" s="103" t="e">
        <f t="shared" ca="1" si="85"/>
        <v>#REF!</v>
      </c>
      <c r="J463" s="103" t="e">
        <f t="shared" ca="1" si="86"/>
        <v>#REF!</v>
      </c>
      <c r="K463" s="103" t="e">
        <f t="shared" ca="1" si="87"/>
        <v>#REF!</v>
      </c>
      <c r="L463" s="103" t="e">
        <f t="shared" ca="1" si="88"/>
        <v>#REF!</v>
      </c>
      <c r="M463" s="103" t="e">
        <f t="shared" ca="1" si="89"/>
        <v>#REF!</v>
      </c>
      <c r="N463" s="104" t="e">
        <f t="shared" ca="1" si="90"/>
        <v>#REF!</v>
      </c>
    </row>
    <row r="464" spans="1:14">
      <c r="A464" s="96">
        <v>426</v>
      </c>
      <c r="B464" s="102" t="e">
        <f t="shared" ca="1" si="78"/>
        <v>#REF!</v>
      </c>
      <c r="C464" s="102" t="e">
        <f t="shared" ca="1" si="79"/>
        <v>#REF!</v>
      </c>
      <c r="D464" s="102" t="e">
        <f t="shared" ca="1" si="80"/>
        <v>#REF!</v>
      </c>
      <c r="E464" s="102" t="e">
        <f t="shared" ca="1" si="81"/>
        <v>#REF!</v>
      </c>
      <c r="F464" s="102" t="e">
        <f t="shared" ca="1" si="82"/>
        <v>#REF!</v>
      </c>
      <c r="G464" s="103">
        <f t="shared" ca="1" si="83"/>
        <v>0.43591988209759314</v>
      </c>
      <c r="H464" s="103">
        <f t="shared" ca="1" si="84"/>
        <v>0.18953163637743556</v>
      </c>
      <c r="I464" s="103" t="e">
        <f t="shared" ca="1" si="85"/>
        <v>#REF!</v>
      </c>
      <c r="J464" s="103" t="e">
        <f t="shared" ca="1" si="86"/>
        <v>#REF!</v>
      </c>
      <c r="K464" s="103" t="e">
        <f t="shared" ca="1" si="87"/>
        <v>#REF!</v>
      </c>
      <c r="L464" s="103" t="e">
        <f t="shared" ca="1" si="88"/>
        <v>#REF!</v>
      </c>
      <c r="M464" s="103" t="e">
        <f t="shared" ca="1" si="89"/>
        <v>#REF!</v>
      </c>
      <c r="N464" s="104" t="e">
        <f t="shared" ca="1" si="90"/>
        <v>#REF!</v>
      </c>
    </row>
    <row r="465" spans="1:14">
      <c r="A465" s="95">
        <v>427</v>
      </c>
      <c r="B465" s="102" t="e">
        <f t="shared" ca="1" si="78"/>
        <v>#REF!</v>
      </c>
      <c r="C465" s="102" t="e">
        <f t="shared" ca="1" si="79"/>
        <v>#REF!</v>
      </c>
      <c r="D465" s="102" t="e">
        <f t="shared" ca="1" si="80"/>
        <v>#REF!</v>
      </c>
      <c r="E465" s="102" t="e">
        <f t="shared" ca="1" si="81"/>
        <v>#REF!</v>
      </c>
      <c r="F465" s="102" t="e">
        <f t="shared" ca="1" si="82"/>
        <v>#REF!</v>
      </c>
      <c r="G465" s="103">
        <f t="shared" ca="1" si="83"/>
        <v>0.41568090436657501</v>
      </c>
      <c r="H465" s="103">
        <f t="shared" ca="1" si="84"/>
        <v>0.19954714180318814</v>
      </c>
      <c r="I465" s="103" t="e">
        <f t="shared" ca="1" si="85"/>
        <v>#REF!</v>
      </c>
      <c r="J465" s="103" t="e">
        <f t="shared" ca="1" si="86"/>
        <v>#REF!</v>
      </c>
      <c r="K465" s="103" t="e">
        <f t="shared" ca="1" si="87"/>
        <v>#REF!</v>
      </c>
      <c r="L465" s="103" t="e">
        <f t="shared" ca="1" si="88"/>
        <v>#REF!</v>
      </c>
      <c r="M465" s="103" t="e">
        <f t="shared" ca="1" si="89"/>
        <v>#REF!</v>
      </c>
      <c r="N465" s="104" t="e">
        <f t="shared" ca="1" si="90"/>
        <v>#REF!</v>
      </c>
    </row>
    <row r="466" spans="1:14">
      <c r="A466" s="96">
        <v>428</v>
      </c>
      <c r="B466" s="102" t="e">
        <f t="shared" ca="1" si="78"/>
        <v>#REF!</v>
      </c>
      <c r="C466" s="102" t="e">
        <f t="shared" ca="1" si="79"/>
        <v>#REF!</v>
      </c>
      <c r="D466" s="102" t="e">
        <f t="shared" ca="1" si="80"/>
        <v>#REF!</v>
      </c>
      <c r="E466" s="102" t="e">
        <f t="shared" ca="1" si="81"/>
        <v>#REF!</v>
      </c>
      <c r="F466" s="102" t="e">
        <f t="shared" ca="1" si="82"/>
        <v>#REF!</v>
      </c>
      <c r="G466" s="103">
        <f t="shared" ca="1" si="83"/>
        <v>0.43489398186462713</v>
      </c>
      <c r="H466" s="103">
        <f t="shared" ca="1" si="84"/>
        <v>0.22663871347322229</v>
      </c>
      <c r="I466" s="103" t="e">
        <f t="shared" ca="1" si="85"/>
        <v>#REF!</v>
      </c>
      <c r="J466" s="103" t="e">
        <f t="shared" ca="1" si="86"/>
        <v>#REF!</v>
      </c>
      <c r="K466" s="103" t="e">
        <f t="shared" ca="1" si="87"/>
        <v>#REF!</v>
      </c>
      <c r="L466" s="103" t="e">
        <f t="shared" ca="1" si="88"/>
        <v>#REF!</v>
      </c>
      <c r="M466" s="103" t="e">
        <f t="shared" ca="1" si="89"/>
        <v>#REF!</v>
      </c>
      <c r="N466" s="104" t="e">
        <f t="shared" ca="1" si="90"/>
        <v>#REF!</v>
      </c>
    </row>
    <row r="467" spans="1:14">
      <c r="A467" s="95">
        <v>429</v>
      </c>
      <c r="B467" s="102" t="e">
        <f t="shared" ca="1" si="78"/>
        <v>#REF!</v>
      </c>
      <c r="C467" s="102" t="e">
        <f t="shared" ca="1" si="79"/>
        <v>#REF!</v>
      </c>
      <c r="D467" s="102" t="e">
        <f t="shared" ca="1" si="80"/>
        <v>#REF!</v>
      </c>
      <c r="E467" s="102" t="e">
        <f t="shared" ca="1" si="81"/>
        <v>#REF!</v>
      </c>
      <c r="F467" s="102" t="e">
        <f t="shared" ca="1" si="82"/>
        <v>#REF!</v>
      </c>
      <c r="G467" s="103">
        <f t="shared" ca="1" si="83"/>
        <v>0.44447095995221009</v>
      </c>
      <c r="H467" s="103">
        <f t="shared" ca="1" si="84"/>
        <v>0.17929362795115633</v>
      </c>
      <c r="I467" s="103" t="e">
        <f t="shared" ca="1" si="85"/>
        <v>#REF!</v>
      </c>
      <c r="J467" s="103" t="e">
        <f t="shared" ca="1" si="86"/>
        <v>#REF!</v>
      </c>
      <c r="K467" s="103" t="e">
        <f t="shared" ca="1" si="87"/>
        <v>#REF!</v>
      </c>
      <c r="L467" s="103" t="e">
        <f t="shared" ca="1" si="88"/>
        <v>#REF!</v>
      </c>
      <c r="M467" s="103" t="e">
        <f t="shared" ca="1" si="89"/>
        <v>#REF!</v>
      </c>
      <c r="N467" s="104" t="e">
        <f t="shared" ca="1" si="90"/>
        <v>#REF!</v>
      </c>
    </row>
    <row r="468" spans="1:14">
      <c r="A468" s="96">
        <v>430</v>
      </c>
      <c r="B468" s="102" t="e">
        <f t="shared" ca="1" si="78"/>
        <v>#REF!</v>
      </c>
      <c r="C468" s="102" t="e">
        <f t="shared" ca="1" si="79"/>
        <v>#REF!</v>
      </c>
      <c r="D468" s="102" t="e">
        <f t="shared" ca="1" si="80"/>
        <v>#REF!</v>
      </c>
      <c r="E468" s="102" t="e">
        <f t="shared" ca="1" si="81"/>
        <v>#REF!</v>
      </c>
      <c r="F468" s="102" t="e">
        <f t="shared" ca="1" si="82"/>
        <v>#REF!</v>
      </c>
      <c r="G468" s="103">
        <f t="shared" ca="1" si="83"/>
        <v>0.38006280753202826</v>
      </c>
      <c r="H468" s="103">
        <f t="shared" ca="1" si="84"/>
        <v>0.16034209264881841</v>
      </c>
      <c r="I468" s="103" t="e">
        <f t="shared" ca="1" si="85"/>
        <v>#REF!</v>
      </c>
      <c r="J468" s="103" t="e">
        <f t="shared" ca="1" si="86"/>
        <v>#REF!</v>
      </c>
      <c r="K468" s="103" t="e">
        <f t="shared" ca="1" si="87"/>
        <v>#REF!</v>
      </c>
      <c r="L468" s="103" t="e">
        <f t="shared" ca="1" si="88"/>
        <v>#REF!</v>
      </c>
      <c r="M468" s="103" t="e">
        <f t="shared" ca="1" si="89"/>
        <v>#REF!</v>
      </c>
      <c r="N468" s="104" t="e">
        <f t="shared" ca="1" si="90"/>
        <v>#REF!</v>
      </c>
    </row>
    <row r="469" spans="1:14">
      <c r="A469" s="95">
        <v>431</v>
      </c>
      <c r="B469" s="102" t="e">
        <f t="shared" ca="1" si="78"/>
        <v>#REF!</v>
      </c>
      <c r="C469" s="102" t="e">
        <f t="shared" ca="1" si="79"/>
        <v>#REF!</v>
      </c>
      <c r="D469" s="102" t="e">
        <f t="shared" ca="1" si="80"/>
        <v>#REF!</v>
      </c>
      <c r="E469" s="102" t="e">
        <f t="shared" ca="1" si="81"/>
        <v>#REF!</v>
      </c>
      <c r="F469" s="102" t="e">
        <f t="shared" ca="1" si="82"/>
        <v>#REF!</v>
      </c>
      <c r="G469" s="103">
        <f t="shared" ca="1" si="83"/>
        <v>0.43487745062277922</v>
      </c>
      <c r="H469" s="103">
        <f t="shared" ca="1" si="84"/>
        <v>0.21477749004664148</v>
      </c>
      <c r="I469" s="103" t="e">
        <f t="shared" ca="1" si="85"/>
        <v>#REF!</v>
      </c>
      <c r="J469" s="103" t="e">
        <f t="shared" ca="1" si="86"/>
        <v>#REF!</v>
      </c>
      <c r="K469" s="103" t="e">
        <f t="shared" ca="1" si="87"/>
        <v>#REF!</v>
      </c>
      <c r="L469" s="103" t="e">
        <f t="shared" ca="1" si="88"/>
        <v>#REF!</v>
      </c>
      <c r="M469" s="103" t="e">
        <f t="shared" ca="1" si="89"/>
        <v>#REF!</v>
      </c>
      <c r="N469" s="104" t="e">
        <f t="shared" ca="1" si="90"/>
        <v>#REF!</v>
      </c>
    </row>
    <row r="470" spans="1:14">
      <c r="A470" s="96">
        <v>432</v>
      </c>
      <c r="B470" s="102" t="e">
        <f t="shared" ca="1" si="78"/>
        <v>#REF!</v>
      </c>
      <c r="C470" s="102" t="e">
        <f t="shared" ca="1" si="79"/>
        <v>#REF!</v>
      </c>
      <c r="D470" s="102" t="e">
        <f t="shared" ca="1" si="80"/>
        <v>#REF!</v>
      </c>
      <c r="E470" s="102" t="e">
        <f t="shared" ca="1" si="81"/>
        <v>#REF!</v>
      </c>
      <c r="F470" s="102" t="e">
        <f t="shared" ca="1" si="82"/>
        <v>#REF!</v>
      </c>
      <c r="G470" s="103">
        <f t="shared" ca="1" si="83"/>
        <v>0.47532106585239281</v>
      </c>
      <c r="H470" s="103">
        <f t="shared" ca="1" si="84"/>
        <v>0.18419599016501279</v>
      </c>
      <c r="I470" s="103" t="e">
        <f t="shared" ca="1" si="85"/>
        <v>#REF!</v>
      </c>
      <c r="J470" s="103" t="e">
        <f t="shared" ca="1" si="86"/>
        <v>#REF!</v>
      </c>
      <c r="K470" s="103" t="e">
        <f t="shared" ca="1" si="87"/>
        <v>#REF!</v>
      </c>
      <c r="L470" s="103" t="e">
        <f t="shared" ca="1" si="88"/>
        <v>#REF!</v>
      </c>
      <c r="M470" s="103" t="e">
        <f t="shared" ca="1" si="89"/>
        <v>#REF!</v>
      </c>
      <c r="N470" s="104" t="e">
        <f t="shared" ca="1" si="90"/>
        <v>#REF!</v>
      </c>
    </row>
    <row r="471" spans="1:14">
      <c r="A471" s="95">
        <v>433</v>
      </c>
      <c r="B471" s="102" t="e">
        <f t="shared" ca="1" si="78"/>
        <v>#REF!</v>
      </c>
      <c r="C471" s="102" t="e">
        <f t="shared" ca="1" si="79"/>
        <v>#REF!</v>
      </c>
      <c r="D471" s="102" t="e">
        <f t="shared" ca="1" si="80"/>
        <v>#REF!</v>
      </c>
      <c r="E471" s="102" t="e">
        <f t="shared" ca="1" si="81"/>
        <v>#REF!</v>
      </c>
      <c r="F471" s="102" t="e">
        <f t="shared" ca="1" si="82"/>
        <v>#REF!</v>
      </c>
      <c r="G471" s="103">
        <f t="shared" ca="1" si="83"/>
        <v>0.44307019933809011</v>
      </c>
      <c r="H471" s="103">
        <f t="shared" ca="1" si="84"/>
        <v>0.2121085182176301</v>
      </c>
      <c r="I471" s="103" t="e">
        <f t="shared" ca="1" si="85"/>
        <v>#REF!</v>
      </c>
      <c r="J471" s="103" t="e">
        <f t="shared" ca="1" si="86"/>
        <v>#REF!</v>
      </c>
      <c r="K471" s="103" t="e">
        <f t="shared" ca="1" si="87"/>
        <v>#REF!</v>
      </c>
      <c r="L471" s="103" t="e">
        <f t="shared" ca="1" si="88"/>
        <v>#REF!</v>
      </c>
      <c r="M471" s="103" t="e">
        <f t="shared" ca="1" si="89"/>
        <v>#REF!</v>
      </c>
      <c r="N471" s="104" t="e">
        <f t="shared" ca="1" si="90"/>
        <v>#REF!</v>
      </c>
    </row>
    <row r="472" spans="1:14">
      <c r="A472" s="96">
        <v>434</v>
      </c>
      <c r="B472" s="102" t="e">
        <f t="shared" ca="1" si="78"/>
        <v>#REF!</v>
      </c>
      <c r="C472" s="102" t="e">
        <f t="shared" ca="1" si="79"/>
        <v>#REF!</v>
      </c>
      <c r="D472" s="102" t="e">
        <f t="shared" ca="1" si="80"/>
        <v>#REF!</v>
      </c>
      <c r="E472" s="102" t="e">
        <f t="shared" ca="1" si="81"/>
        <v>#REF!</v>
      </c>
      <c r="F472" s="102" t="e">
        <f t="shared" ca="1" si="82"/>
        <v>#REF!</v>
      </c>
      <c r="G472" s="103">
        <f t="shared" ca="1" si="83"/>
        <v>0.40507942865289515</v>
      </c>
      <c r="H472" s="103">
        <f t="shared" ca="1" si="84"/>
        <v>0.19752391655423746</v>
      </c>
      <c r="I472" s="103" t="e">
        <f t="shared" ca="1" si="85"/>
        <v>#REF!</v>
      </c>
      <c r="J472" s="103" t="e">
        <f t="shared" ca="1" si="86"/>
        <v>#REF!</v>
      </c>
      <c r="K472" s="103" t="e">
        <f t="shared" ca="1" si="87"/>
        <v>#REF!</v>
      </c>
      <c r="L472" s="103" t="e">
        <f t="shared" ca="1" si="88"/>
        <v>#REF!</v>
      </c>
      <c r="M472" s="103" t="e">
        <f t="shared" ca="1" si="89"/>
        <v>#REF!</v>
      </c>
      <c r="N472" s="104" t="e">
        <f t="shared" ca="1" si="90"/>
        <v>#REF!</v>
      </c>
    </row>
    <row r="473" spans="1:14">
      <c r="A473" s="95">
        <v>435</v>
      </c>
      <c r="B473" s="102" t="e">
        <f t="shared" ca="1" si="78"/>
        <v>#REF!</v>
      </c>
      <c r="C473" s="102" t="e">
        <f t="shared" ca="1" si="79"/>
        <v>#REF!</v>
      </c>
      <c r="D473" s="102" t="e">
        <f t="shared" ca="1" si="80"/>
        <v>#REF!</v>
      </c>
      <c r="E473" s="102" t="e">
        <f t="shared" ca="1" si="81"/>
        <v>#REF!</v>
      </c>
      <c r="F473" s="102" t="e">
        <f t="shared" ca="1" si="82"/>
        <v>#REF!</v>
      </c>
      <c r="G473" s="103">
        <f t="shared" ca="1" si="83"/>
        <v>0.44554258937736418</v>
      </c>
      <c r="H473" s="103">
        <f t="shared" ca="1" si="84"/>
        <v>0.18733727261646371</v>
      </c>
      <c r="I473" s="103" t="e">
        <f t="shared" ca="1" si="85"/>
        <v>#REF!</v>
      </c>
      <c r="J473" s="103" t="e">
        <f t="shared" ca="1" si="86"/>
        <v>#REF!</v>
      </c>
      <c r="K473" s="103" t="e">
        <f t="shared" ca="1" si="87"/>
        <v>#REF!</v>
      </c>
      <c r="L473" s="103" t="e">
        <f t="shared" ca="1" si="88"/>
        <v>#REF!</v>
      </c>
      <c r="M473" s="103" t="e">
        <f t="shared" ca="1" si="89"/>
        <v>#REF!</v>
      </c>
      <c r="N473" s="104" t="e">
        <f t="shared" ca="1" si="90"/>
        <v>#REF!</v>
      </c>
    </row>
    <row r="474" spans="1:14">
      <c r="A474" s="96">
        <v>436</v>
      </c>
      <c r="B474" s="102" t="e">
        <f t="shared" ca="1" si="78"/>
        <v>#REF!</v>
      </c>
      <c r="C474" s="102" t="e">
        <f t="shared" ca="1" si="79"/>
        <v>#REF!</v>
      </c>
      <c r="D474" s="102" t="e">
        <f t="shared" ca="1" si="80"/>
        <v>#REF!</v>
      </c>
      <c r="E474" s="102" t="e">
        <f t="shared" ca="1" si="81"/>
        <v>#REF!</v>
      </c>
      <c r="F474" s="102" t="e">
        <f t="shared" ca="1" si="82"/>
        <v>#REF!</v>
      </c>
      <c r="G474" s="103">
        <f t="shared" ca="1" si="83"/>
        <v>0.4221371775980029</v>
      </c>
      <c r="H474" s="103">
        <f t="shared" ca="1" si="84"/>
        <v>0.17870558037280751</v>
      </c>
      <c r="I474" s="103" t="e">
        <f t="shared" ca="1" si="85"/>
        <v>#REF!</v>
      </c>
      <c r="J474" s="103" t="e">
        <f t="shared" ca="1" si="86"/>
        <v>#REF!</v>
      </c>
      <c r="K474" s="103" t="e">
        <f t="shared" ca="1" si="87"/>
        <v>#REF!</v>
      </c>
      <c r="L474" s="103" t="e">
        <f t="shared" ca="1" si="88"/>
        <v>#REF!</v>
      </c>
      <c r="M474" s="103" t="e">
        <f t="shared" ca="1" si="89"/>
        <v>#REF!</v>
      </c>
      <c r="N474" s="104" t="e">
        <f t="shared" ca="1" si="90"/>
        <v>#REF!</v>
      </c>
    </row>
    <row r="475" spans="1:14">
      <c r="A475" s="95">
        <v>437</v>
      </c>
      <c r="B475" s="102" t="e">
        <f t="shared" ca="1" si="78"/>
        <v>#REF!</v>
      </c>
      <c r="C475" s="102" t="e">
        <f t="shared" ca="1" si="79"/>
        <v>#REF!</v>
      </c>
      <c r="D475" s="102" t="e">
        <f t="shared" ca="1" si="80"/>
        <v>#REF!</v>
      </c>
      <c r="E475" s="102" t="e">
        <f t="shared" ca="1" si="81"/>
        <v>#REF!</v>
      </c>
      <c r="F475" s="102" t="e">
        <f t="shared" ca="1" si="82"/>
        <v>#REF!</v>
      </c>
      <c r="G475" s="103">
        <f t="shared" ca="1" si="83"/>
        <v>0.37528904848186451</v>
      </c>
      <c r="H475" s="103">
        <f t="shared" ca="1" si="84"/>
        <v>0.1966456737863799</v>
      </c>
      <c r="I475" s="103" t="e">
        <f t="shared" ca="1" si="85"/>
        <v>#REF!</v>
      </c>
      <c r="J475" s="103" t="e">
        <f t="shared" ca="1" si="86"/>
        <v>#REF!</v>
      </c>
      <c r="K475" s="103" t="e">
        <f t="shared" ca="1" si="87"/>
        <v>#REF!</v>
      </c>
      <c r="L475" s="103" t="e">
        <f t="shared" ca="1" si="88"/>
        <v>#REF!</v>
      </c>
      <c r="M475" s="103" t="e">
        <f t="shared" ca="1" si="89"/>
        <v>#REF!</v>
      </c>
      <c r="N475" s="104" t="e">
        <f t="shared" ca="1" si="90"/>
        <v>#REF!</v>
      </c>
    </row>
    <row r="476" spans="1:14">
      <c r="A476" s="96">
        <v>438</v>
      </c>
      <c r="B476" s="102" t="e">
        <f t="shared" ca="1" si="78"/>
        <v>#REF!</v>
      </c>
      <c r="C476" s="102" t="e">
        <f t="shared" ca="1" si="79"/>
        <v>#REF!</v>
      </c>
      <c r="D476" s="102" t="e">
        <f t="shared" ca="1" si="80"/>
        <v>#REF!</v>
      </c>
      <c r="E476" s="102" t="e">
        <f t="shared" ca="1" si="81"/>
        <v>#REF!</v>
      </c>
      <c r="F476" s="102" t="e">
        <f t="shared" ca="1" si="82"/>
        <v>#REF!</v>
      </c>
      <c r="G476" s="103">
        <f t="shared" ca="1" si="83"/>
        <v>0.45756883590443598</v>
      </c>
      <c r="H476" s="103">
        <f t="shared" ca="1" si="84"/>
        <v>0.19833398137614597</v>
      </c>
      <c r="I476" s="103" t="e">
        <f t="shared" ca="1" si="85"/>
        <v>#REF!</v>
      </c>
      <c r="J476" s="103" t="e">
        <f t="shared" ca="1" si="86"/>
        <v>#REF!</v>
      </c>
      <c r="K476" s="103" t="e">
        <f t="shared" ca="1" si="87"/>
        <v>#REF!</v>
      </c>
      <c r="L476" s="103" t="e">
        <f t="shared" ca="1" si="88"/>
        <v>#REF!</v>
      </c>
      <c r="M476" s="103" t="e">
        <f t="shared" ca="1" si="89"/>
        <v>#REF!</v>
      </c>
      <c r="N476" s="104" t="e">
        <f t="shared" ca="1" si="90"/>
        <v>#REF!</v>
      </c>
    </row>
    <row r="477" spans="1:14">
      <c r="A477" s="95">
        <v>439</v>
      </c>
      <c r="B477" s="102" t="e">
        <f t="shared" ca="1" si="78"/>
        <v>#REF!</v>
      </c>
      <c r="C477" s="102" t="e">
        <f t="shared" ca="1" si="79"/>
        <v>#REF!</v>
      </c>
      <c r="D477" s="102" t="e">
        <f t="shared" ca="1" si="80"/>
        <v>#REF!</v>
      </c>
      <c r="E477" s="102" t="e">
        <f t="shared" ca="1" si="81"/>
        <v>#REF!</v>
      </c>
      <c r="F477" s="102" t="e">
        <f t="shared" ca="1" si="82"/>
        <v>#REF!</v>
      </c>
      <c r="G477" s="103">
        <f t="shared" ca="1" si="83"/>
        <v>0.41839418659772037</v>
      </c>
      <c r="H477" s="103">
        <f t="shared" ca="1" si="84"/>
        <v>0.16168014550891205</v>
      </c>
      <c r="I477" s="103" t="e">
        <f t="shared" ca="1" si="85"/>
        <v>#REF!</v>
      </c>
      <c r="J477" s="103" t="e">
        <f t="shared" ca="1" si="86"/>
        <v>#REF!</v>
      </c>
      <c r="K477" s="103" t="e">
        <f t="shared" ca="1" si="87"/>
        <v>#REF!</v>
      </c>
      <c r="L477" s="103" t="e">
        <f t="shared" ca="1" si="88"/>
        <v>#REF!</v>
      </c>
      <c r="M477" s="103" t="e">
        <f t="shared" ca="1" si="89"/>
        <v>#REF!</v>
      </c>
      <c r="N477" s="104" t="e">
        <f t="shared" ca="1" si="90"/>
        <v>#REF!</v>
      </c>
    </row>
    <row r="478" spans="1:14">
      <c r="A478" s="96">
        <v>440</v>
      </c>
      <c r="B478" s="102" t="e">
        <f t="shared" ca="1" si="78"/>
        <v>#REF!</v>
      </c>
      <c r="C478" s="102" t="e">
        <f t="shared" ca="1" si="79"/>
        <v>#REF!</v>
      </c>
      <c r="D478" s="102" t="e">
        <f t="shared" ca="1" si="80"/>
        <v>#REF!</v>
      </c>
      <c r="E478" s="102" t="e">
        <f t="shared" ca="1" si="81"/>
        <v>#REF!</v>
      </c>
      <c r="F478" s="102" t="e">
        <f t="shared" ca="1" si="82"/>
        <v>#REF!</v>
      </c>
      <c r="G478" s="103">
        <f t="shared" ca="1" si="83"/>
        <v>0.47305058491806523</v>
      </c>
      <c r="H478" s="103">
        <f t="shared" ca="1" si="84"/>
        <v>0.21611775004308692</v>
      </c>
      <c r="I478" s="103" t="e">
        <f t="shared" ca="1" si="85"/>
        <v>#REF!</v>
      </c>
      <c r="J478" s="103" t="e">
        <f t="shared" ca="1" si="86"/>
        <v>#REF!</v>
      </c>
      <c r="K478" s="103" t="e">
        <f t="shared" ca="1" si="87"/>
        <v>#REF!</v>
      </c>
      <c r="L478" s="103" t="e">
        <f t="shared" ca="1" si="88"/>
        <v>#REF!</v>
      </c>
      <c r="M478" s="103" t="e">
        <f t="shared" ca="1" si="89"/>
        <v>#REF!</v>
      </c>
      <c r="N478" s="104" t="e">
        <f t="shared" ca="1" si="90"/>
        <v>#REF!</v>
      </c>
    </row>
    <row r="479" spans="1:14">
      <c r="A479" s="95">
        <v>441</v>
      </c>
      <c r="B479" s="102" t="e">
        <f t="shared" ca="1" si="78"/>
        <v>#REF!</v>
      </c>
      <c r="C479" s="102" t="e">
        <f t="shared" ca="1" si="79"/>
        <v>#REF!</v>
      </c>
      <c r="D479" s="102" t="e">
        <f t="shared" ca="1" si="80"/>
        <v>#REF!</v>
      </c>
      <c r="E479" s="102" t="e">
        <f t="shared" ca="1" si="81"/>
        <v>#REF!</v>
      </c>
      <c r="F479" s="102" t="e">
        <f t="shared" ca="1" si="82"/>
        <v>#REF!</v>
      </c>
      <c r="G479" s="103">
        <f t="shared" ca="1" si="83"/>
        <v>0.43627939687393413</v>
      </c>
      <c r="H479" s="103">
        <f t="shared" ca="1" si="84"/>
        <v>0.22304230322140173</v>
      </c>
      <c r="I479" s="103" t="e">
        <f t="shared" ca="1" si="85"/>
        <v>#REF!</v>
      </c>
      <c r="J479" s="103" t="e">
        <f t="shared" ca="1" si="86"/>
        <v>#REF!</v>
      </c>
      <c r="K479" s="103" t="e">
        <f t="shared" ca="1" si="87"/>
        <v>#REF!</v>
      </c>
      <c r="L479" s="103" t="e">
        <f t="shared" ca="1" si="88"/>
        <v>#REF!</v>
      </c>
      <c r="M479" s="103" t="e">
        <f t="shared" ca="1" si="89"/>
        <v>#REF!</v>
      </c>
      <c r="N479" s="104" t="e">
        <f t="shared" ca="1" si="90"/>
        <v>#REF!</v>
      </c>
    </row>
    <row r="480" spans="1:14">
      <c r="A480" s="96">
        <v>442</v>
      </c>
      <c r="B480" s="102" t="e">
        <f t="shared" ca="1" si="78"/>
        <v>#REF!</v>
      </c>
      <c r="C480" s="102" t="e">
        <f t="shared" ca="1" si="79"/>
        <v>#REF!</v>
      </c>
      <c r="D480" s="102" t="e">
        <f t="shared" ca="1" si="80"/>
        <v>#REF!</v>
      </c>
      <c r="E480" s="102" t="e">
        <f t="shared" ca="1" si="81"/>
        <v>#REF!</v>
      </c>
      <c r="F480" s="102" t="e">
        <f t="shared" ca="1" si="82"/>
        <v>#REF!</v>
      </c>
      <c r="G480" s="103">
        <f t="shared" ca="1" si="83"/>
        <v>0.49507727344309271</v>
      </c>
      <c r="H480" s="103">
        <f t="shared" ca="1" si="84"/>
        <v>0.18587527893719819</v>
      </c>
      <c r="I480" s="103" t="e">
        <f t="shared" ca="1" si="85"/>
        <v>#REF!</v>
      </c>
      <c r="J480" s="103" t="e">
        <f t="shared" ca="1" si="86"/>
        <v>#REF!</v>
      </c>
      <c r="K480" s="103" t="e">
        <f t="shared" ca="1" si="87"/>
        <v>#REF!</v>
      </c>
      <c r="L480" s="103" t="e">
        <f t="shared" ca="1" si="88"/>
        <v>#REF!</v>
      </c>
      <c r="M480" s="103" t="e">
        <f t="shared" ca="1" si="89"/>
        <v>#REF!</v>
      </c>
      <c r="N480" s="104" t="e">
        <f t="shared" ca="1" si="90"/>
        <v>#REF!</v>
      </c>
    </row>
    <row r="481" spans="1:14">
      <c r="A481" s="95">
        <v>443</v>
      </c>
      <c r="B481" s="102" t="e">
        <f t="shared" ca="1" si="78"/>
        <v>#REF!</v>
      </c>
      <c r="C481" s="102" t="e">
        <f t="shared" ca="1" si="79"/>
        <v>#REF!</v>
      </c>
      <c r="D481" s="102" t="e">
        <f t="shared" ca="1" si="80"/>
        <v>#REF!</v>
      </c>
      <c r="E481" s="102" t="e">
        <f t="shared" ca="1" si="81"/>
        <v>#REF!</v>
      </c>
      <c r="F481" s="102" t="e">
        <f t="shared" ca="1" si="82"/>
        <v>#REF!</v>
      </c>
      <c r="G481" s="103">
        <f t="shared" ca="1" si="83"/>
        <v>0.46944253216437354</v>
      </c>
      <c r="H481" s="103">
        <f t="shared" ca="1" si="84"/>
        <v>0.17854835929571425</v>
      </c>
      <c r="I481" s="103" t="e">
        <f t="shared" ca="1" si="85"/>
        <v>#REF!</v>
      </c>
      <c r="J481" s="103" t="e">
        <f t="shared" ca="1" si="86"/>
        <v>#REF!</v>
      </c>
      <c r="K481" s="103" t="e">
        <f t="shared" ca="1" si="87"/>
        <v>#REF!</v>
      </c>
      <c r="L481" s="103" t="e">
        <f t="shared" ca="1" si="88"/>
        <v>#REF!</v>
      </c>
      <c r="M481" s="103" t="e">
        <f t="shared" ca="1" si="89"/>
        <v>#REF!</v>
      </c>
      <c r="N481" s="104" t="e">
        <f t="shared" ca="1" si="90"/>
        <v>#REF!</v>
      </c>
    </row>
    <row r="482" spans="1:14">
      <c r="A482" s="96">
        <v>444</v>
      </c>
      <c r="B482" s="102" t="e">
        <f t="shared" ca="1" si="78"/>
        <v>#REF!</v>
      </c>
      <c r="C482" s="102" t="e">
        <f t="shared" ca="1" si="79"/>
        <v>#REF!</v>
      </c>
      <c r="D482" s="102" t="e">
        <f t="shared" ca="1" si="80"/>
        <v>#REF!</v>
      </c>
      <c r="E482" s="102" t="e">
        <f t="shared" ca="1" si="81"/>
        <v>#REF!</v>
      </c>
      <c r="F482" s="102" t="e">
        <f t="shared" ca="1" si="82"/>
        <v>#REF!</v>
      </c>
      <c r="G482" s="103">
        <f t="shared" ca="1" si="83"/>
        <v>0.43427399835213415</v>
      </c>
      <c r="H482" s="103">
        <f t="shared" ca="1" si="84"/>
        <v>0.21000868088595642</v>
      </c>
      <c r="I482" s="103" t="e">
        <f t="shared" ca="1" si="85"/>
        <v>#REF!</v>
      </c>
      <c r="J482" s="103" t="e">
        <f t="shared" ca="1" si="86"/>
        <v>#REF!</v>
      </c>
      <c r="K482" s="103" t="e">
        <f t="shared" ca="1" si="87"/>
        <v>#REF!</v>
      </c>
      <c r="L482" s="103" t="e">
        <f t="shared" ca="1" si="88"/>
        <v>#REF!</v>
      </c>
      <c r="M482" s="103" t="e">
        <f t="shared" ca="1" si="89"/>
        <v>#REF!</v>
      </c>
      <c r="N482" s="104" t="e">
        <f t="shared" ca="1" si="90"/>
        <v>#REF!</v>
      </c>
    </row>
    <row r="483" spans="1:14">
      <c r="A483" s="95">
        <v>445</v>
      </c>
      <c r="B483" s="102" t="e">
        <f t="shared" ca="1" si="78"/>
        <v>#REF!</v>
      </c>
      <c r="C483" s="102" t="e">
        <f t="shared" ca="1" si="79"/>
        <v>#REF!</v>
      </c>
      <c r="D483" s="102" t="e">
        <f t="shared" ca="1" si="80"/>
        <v>#REF!</v>
      </c>
      <c r="E483" s="102" t="e">
        <f t="shared" ca="1" si="81"/>
        <v>#REF!</v>
      </c>
      <c r="F483" s="102" t="e">
        <f t="shared" ca="1" si="82"/>
        <v>#REF!</v>
      </c>
      <c r="G483" s="103">
        <f t="shared" ca="1" si="83"/>
        <v>0.44943405231621891</v>
      </c>
      <c r="H483" s="103">
        <f t="shared" ca="1" si="84"/>
        <v>0.2265239601468893</v>
      </c>
      <c r="I483" s="103" t="e">
        <f t="shared" ca="1" si="85"/>
        <v>#REF!</v>
      </c>
      <c r="J483" s="103" t="e">
        <f t="shared" ca="1" si="86"/>
        <v>#REF!</v>
      </c>
      <c r="K483" s="103" t="e">
        <f t="shared" ca="1" si="87"/>
        <v>#REF!</v>
      </c>
      <c r="L483" s="103" t="e">
        <f t="shared" ca="1" si="88"/>
        <v>#REF!</v>
      </c>
      <c r="M483" s="103" t="e">
        <f t="shared" ca="1" si="89"/>
        <v>#REF!</v>
      </c>
      <c r="N483" s="104" t="e">
        <f t="shared" ca="1" si="90"/>
        <v>#REF!</v>
      </c>
    </row>
    <row r="484" spans="1:14">
      <c r="A484" s="96">
        <v>446</v>
      </c>
      <c r="B484" s="102" t="e">
        <f t="shared" ca="1" si="78"/>
        <v>#REF!</v>
      </c>
      <c r="C484" s="102" t="e">
        <f t="shared" ca="1" si="79"/>
        <v>#REF!</v>
      </c>
      <c r="D484" s="102" t="e">
        <f t="shared" ca="1" si="80"/>
        <v>#REF!</v>
      </c>
      <c r="E484" s="102" t="e">
        <f t="shared" ca="1" si="81"/>
        <v>#REF!</v>
      </c>
      <c r="F484" s="102" t="e">
        <f t="shared" ca="1" si="82"/>
        <v>#REF!</v>
      </c>
      <c r="G484" s="103">
        <f t="shared" ca="1" si="83"/>
        <v>0.48584378735942646</v>
      </c>
      <c r="H484" s="103">
        <f t="shared" ca="1" si="84"/>
        <v>0.19222641687598513</v>
      </c>
      <c r="I484" s="103" t="e">
        <f t="shared" ca="1" si="85"/>
        <v>#REF!</v>
      </c>
      <c r="J484" s="103" t="e">
        <f t="shared" ca="1" si="86"/>
        <v>#REF!</v>
      </c>
      <c r="K484" s="103" t="e">
        <f t="shared" ca="1" si="87"/>
        <v>#REF!</v>
      </c>
      <c r="L484" s="103" t="e">
        <f t="shared" ca="1" si="88"/>
        <v>#REF!</v>
      </c>
      <c r="M484" s="103" t="e">
        <f t="shared" ca="1" si="89"/>
        <v>#REF!</v>
      </c>
      <c r="N484" s="104" t="e">
        <f t="shared" ca="1" si="90"/>
        <v>#REF!</v>
      </c>
    </row>
    <row r="485" spans="1:14">
      <c r="A485" s="95">
        <v>447</v>
      </c>
      <c r="B485" s="102" t="e">
        <f t="shared" ca="1" si="78"/>
        <v>#REF!</v>
      </c>
      <c r="C485" s="102" t="e">
        <f t="shared" ca="1" si="79"/>
        <v>#REF!</v>
      </c>
      <c r="D485" s="102" t="e">
        <f t="shared" ca="1" si="80"/>
        <v>#REF!</v>
      </c>
      <c r="E485" s="102" t="e">
        <f t="shared" ca="1" si="81"/>
        <v>#REF!</v>
      </c>
      <c r="F485" s="102" t="e">
        <f t="shared" ca="1" si="82"/>
        <v>#REF!</v>
      </c>
      <c r="G485" s="103">
        <f t="shared" ca="1" si="83"/>
        <v>0.47043584403077221</v>
      </c>
      <c r="H485" s="103">
        <f t="shared" ca="1" si="84"/>
        <v>0.2082155611341196</v>
      </c>
      <c r="I485" s="103" t="e">
        <f t="shared" ca="1" si="85"/>
        <v>#REF!</v>
      </c>
      <c r="J485" s="103" t="e">
        <f t="shared" ca="1" si="86"/>
        <v>#REF!</v>
      </c>
      <c r="K485" s="103" t="e">
        <f t="shared" ca="1" si="87"/>
        <v>#REF!</v>
      </c>
      <c r="L485" s="103" t="e">
        <f t="shared" ca="1" si="88"/>
        <v>#REF!</v>
      </c>
      <c r="M485" s="103" t="e">
        <f t="shared" ca="1" si="89"/>
        <v>#REF!</v>
      </c>
      <c r="N485" s="104" t="e">
        <f t="shared" ca="1" si="90"/>
        <v>#REF!</v>
      </c>
    </row>
    <row r="486" spans="1:14">
      <c r="A486" s="96">
        <v>448</v>
      </c>
      <c r="B486" s="102" t="e">
        <f t="shared" ca="1" si="78"/>
        <v>#REF!</v>
      </c>
      <c r="C486" s="102" t="e">
        <f t="shared" ca="1" si="79"/>
        <v>#REF!</v>
      </c>
      <c r="D486" s="102" t="e">
        <f t="shared" ca="1" si="80"/>
        <v>#REF!</v>
      </c>
      <c r="E486" s="102" t="e">
        <f t="shared" ca="1" si="81"/>
        <v>#REF!</v>
      </c>
      <c r="F486" s="102" t="e">
        <f t="shared" ca="1" si="82"/>
        <v>#REF!</v>
      </c>
      <c r="G486" s="103">
        <f t="shared" ca="1" si="83"/>
        <v>0.44285043823659553</v>
      </c>
      <c r="H486" s="103">
        <f t="shared" ca="1" si="84"/>
        <v>0.1958388419549916</v>
      </c>
      <c r="I486" s="103" t="e">
        <f t="shared" ca="1" si="85"/>
        <v>#REF!</v>
      </c>
      <c r="J486" s="103" t="e">
        <f t="shared" ca="1" si="86"/>
        <v>#REF!</v>
      </c>
      <c r="K486" s="103" t="e">
        <f t="shared" ca="1" si="87"/>
        <v>#REF!</v>
      </c>
      <c r="L486" s="103" t="e">
        <f t="shared" ca="1" si="88"/>
        <v>#REF!</v>
      </c>
      <c r="M486" s="103" t="e">
        <f t="shared" ca="1" si="89"/>
        <v>#REF!</v>
      </c>
      <c r="N486" s="104" t="e">
        <f t="shared" ca="1" si="90"/>
        <v>#REF!</v>
      </c>
    </row>
    <row r="487" spans="1:14">
      <c r="A487" s="95">
        <v>449</v>
      </c>
      <c r="B487" s="102" t="e">
        <f t="shared" ca="1" si="78"/>
        <v>#REF!</v>
      </c>
      <c r="C487" s="102" t="e">
        <f t="shared" ca="1" si="79"/>
        <v>#REF!</v>
      </c>
      <c r="D487" s="102" t="e">
        <f t="shared" ca="1" si="80"/>
        <v>#REF!</v>
      </c>
      <c r="E487" s="102" t="e">
        <f t="shared" ca="1" si="81"/>
        <v>#REF!</v>
      </c>
      <c r="F487" s="102" t="e">
        <f t="shared" ca="1" si="82"/>
        <v>#REF!</v>
      </c>
      <c r="G487" s="103">
        <f t="shared" ca="1" si="83"/>
        <v>0.45272858461868293</v>
      </c>
      <c r="H487" s="103">
        <f t="shared" ca="1" si="84"/>
        <v>0.20313796100944845</v>
      </c>
      <c r="I487" s="103" t="e">
        <f t="shared" ca="1" si="85"/>
        <v>#REF!</v>
      </c>
      <c r="J487" s="103" t="e">
        <f t="shared" ca="1" si="86"/>
        <v>#REF!</v>
      </c>
      <c r="K487" s="103" t="e">
        <f t="shared" ca="1" si="87"/>
        <v>#REF!</v>
      </c>
      <c r="L487" s="103" t="e">
        <f t="shared" ca="1" si="88"/>
        <v>#REF!</v>
      </c>
      <c r="M487" s="103" t="e">
        <f t="shared" ca="1" si="89"/>
        <v>#REF!</v>
      </c>
      <c r="N487" s="104" t="e">
        <f t="shared" ca="1" si="90"/>
        <v>#REF!</v>
      </c>
    </row>
    <row r="488" spans="1:14">
      <c r="A488" s="96">
        <v>450</v>
      </c>
      <c r="B488" s="102" t="e">
        <f t="shared" ref="B488:B551" ca="1" si="91">_xlfn.LOGNORM.INV(RAND(),$D$5,$E$5)</f>
        <v>#REF!</v>
      </c>
      <c r="C488" s="102" t="e">
        <f t="shared" ref="C488:C551" ca="1" si="92">_xlfn.LOGNORM.INV(RAND(),$D$6,$E$6)</f>
        <v>#REF!</v>
      </c>
      <c r="D488" s="102" t="e">
        <f t="shared" ref="D488:D551" ca="1" si="93">_xlfn.LOGNORM.INV(RAND(),$D$7,$E$7)</f>
        <v>#REF!</v>
      </c>
      <c r="E488" s="102" t="e">
        <f t="shared" ref="E488:E551" ca="1" si="94">_xlfn.LOGNORM.INV(RAND(),$D$8,$E$8)</f>
        <v>#REF!</v>
      </c>
      <c r="F488" s="102" t="e">
        <f t="shared" ref="F488:F551" ca="1" si="95">_xlfn.LOGNORM.INV(RAND(),$D$9,$E$9)</f>
        <v>#REF!</v>
      </c>
      <c r="G488" s="103">
        <f t="shared" ref="G488:G551" ca="1" si="96">_xlfn.NORM.INV(RAND(),$B$12,$C$12)</f>
        <v>0.4233612047100111</v>
      </c>
      <c r="H488" s="103">
        <f t="shared" ref="H488:H551" ca="1" si="97">_xlfn.NORM.INV(RAND(),$B$13,$C$13)</f>
        <v>0.20128911282601225</v>
      </c>
      <c r="I488" s="103" t="e">
        <f t="shared" ref="I488:I551" ca="1" si="98">G488*($E$16/24)+H488*(1-$E$16/24)</f>
        <v>#REF!</v>
      </c>
      <c r="J488" s="103" t="e">
        <f t="shared" ref="J488:J551" ca="1" si="99">G488*($E$17/24)+H488*(1-$E$17/24)</f>
        <v>#REF!</v>
      </c>
      <c r="K488" s="103" t="e">
        <f t="shared" ref="K488:K551" ca="1" si="100">G488*($E$18/24)+H488*(1-$E$18/24)</f>
        <v>#REF!</v>
      </c>
      <c r="L488" s="103" t="e">
        <f t="shared" ref="L488:L551" ca="1" si="101">G488*($E$19/24)+H488*(1-$E$19/24)</f>
        <v>#REF!</v>
      </c>
      <c r="M488" s="103" t="e">
        <f t="shared" ref="M488:M551" ca="1" si="102">G488*($E$20/24)+H488*(1-$E$20/24)</f>
        <v>#REF!</v>
      </c>
      <c r="N488" s="104" t="e">
        <f t="shared" ref="N488:N551" ca="1" si="103">B488*$B$16+C488*$B$17+D488*$B$18+E488*$B$19+F488*$B$20-($C$16*$D$16*I488+$C$17*$D$17*J488+$C$18*$D$18*K488+$C$19*$D$19*L488+$C$20*$D$20*M488)</f>
        <v>#REF!</v>
      </c>
    </row>
    <row r="489" spans="1:14">
      <c r="A489" s="95">
        <v>451</v>
      </c>
      <c r="B489" s="102" t="e">
        <f t="shared" ca="1" si="91"/>
        <v>#REF!</v>
      </c>
      <c r="C489" s="102" t="e">
        <f t="shared" ca="1" si="92"/>
        <v>#REF!</v>
      </c>
      <c r="D489" s="102" t="e">
        <f t="shared" ca="1" si="93"/>
        <v>#REF!</v>
      </c>
      <c r="E489" s="102" t="e">
        <f t="shared" ca="1" si="94"/>
        <v>#REF!</v>
      </c>
      <c r="F489" s="102" t="e">
        <f t="shared" ca="1" si="95"/>
        <v>#REF!</v>
      </c>
      <c r="G489" s="103">
        <f t="shared" ca="1" si="96"/>
        <v>0.38817097372994908</v>
      </c>
      <c r="H489" s="103">
        <f t="shared" ca="1" si="97"/>
        <v>0.19208251341027233</v>
      </c>
      <c r="I489" s="103" t="e">
        <f t="shared" ca="1" si="98"/>
        <v>#REF!</v>
      </c>
      <c r="J489" s="103" t="e">
        <f t="shared" ca="1" si="99"/>
        <v>#REF!</v>
      </c>
      <c r="K489" s="103" t="e">
        <f t="shared" ca="1" si="100"/>
        <v>#REF!</v>
      </c>
      <c r="L489" s="103" t="e">
        <f t="shared" ca="1" si="101"/>
        <v>#REF!</v>
      </c>
      <c r="M489" s="103" t="e">
        <f t="shared" ca="1" si="102"/>
        <v>#REF!</v>
      </c>
      <c r="N489" s="104" t="e">
        <f t="shared" ca="1" si="103"/>
        <v>#REF!</v>
      </c>
    </row>
    <row r="490" spans="1:14">
      <c r="A490" s="96">
        <v>452</v>
      </c>
      <c r="B490" s="102" t="e">
        <f t="shared" ca="1" si="91"/>
        <v>#REF!</v>
      </c>
      <c r="C490" s="102" t="e">
        <f t="shared" ca="1" si="92"/>
        <v>#REF!</v>
      </c>
      <c r="D490" s="102" t="e">
        <f t="shared" ca="1" si="93"/>
        <v>#REF!</v>
      </c>
      <c r="E490" s="102" t="e">
        <f t="shared" ca="1" si="94"/>
        <v>#REF!</v>
      </c>
      <c r="F490" s="102" t="e">
        <f t="shared" ca="1" si="95"/>
        <v>#REF!</v>
      </c>
      <c r="G490" s="103">
        <f t="shared" ca="1" si="96"/>
        <v>0.43541052038429739</v>
      </c>
      <c r="H490" s="103">
        <f t="shared" ca="1" si="97"/>
        <v>0.19840076341905108</v>
      </c>
      <c r="I490" s="103" t="e">
        <f t="shared" ca="1" si="98"/>
        <v>#REF!</v>
      </c>
      <c r="J490" s="103" t="e">
        <f t="shared" ca="1" si="99"/>
        <v>#REF!</v>
      </c>
      <c r="K490" s="103" t="e">
        <f t="shared" ca="1" si="100"/>
        <v>#REF!</v>
      </c>
      <c r="L490" s="103" t="e">
        <f t="shared" ca="1" si="101"/>
        <v>#REF!</v>
      </c>
      <c r="M490" s="103" t="e">
        <f t="shared" ca="1" si="102"/>
        <v>#REF!</v>
      </c>
      <c r="N490" s="104" t="e">
        <f t="shared" ca="1" si="103"/>
        <v>#REF!</v>
      </c>
    </row>
    <row r="491" spans="1:14">
      <c r="A491" s="95">
        <v>453</v>
      </c>
      <c r="B491" s="102" t="e">
        <f t="shared" ca="1" si="91"/>
        <v>#REF!</v>
      </c>
      <c r="C491" s="102" t="e">
        <f t="shared" ca="1" si="92"/>
        <v>#REF!</v>
      </c>
      <c r="D491" s="102" t="e">
        <f t="shared" ca="1" si="93"/>
        <v>#REF!</v>
      </c>
      <c r="E491" s="102" t="e">
        <f t="shared" ca="1" si="94"/>
        <v>#REF!</v>
      </c>
      <c r="F491" s="102" t="e">
        <f t="shared" ca="1" si="95"/>
        <v>#REF!</v>
      </c>
      <c r="G491" s="103">
        <f t="shared" ca="1" si="96"/>
        <v>0.38773978906308221</v>
      </c>
      <c r="H491" s="103">
        <f t="shared" ca="1" si="97"/>
        <v>0.1769566862367366</v>
      </c>
      <c r="I491" s="103" t="e">
        <f t="shared" ca="1" si="98"/>
        <v>#REF!</v>
      </c>
      <c r="J491" s="103" t="e">
        <f t="shared" ca="1" si="99"/>
        <v>#REF!</v>
      </c>
      <c r="K491" s="103" t="e">
        <f t="shared" ca="1" si="100"/>
        <v>#REF!</v>
      </c>
      <c r="L491" s="103" t="e">
        <f t="shared" ca="1" si="101"/>
        <v>#REF!</v>
      </c>
      <c r="M491" s="103" t="e">
        <f t="shared" ca="1" si="102"/>
        <v>#REF!</v>
      </c>
      <c r="N491" s="104" t="e">
        <f t="shared" ca="1" si="103"/>
        <v>#REF!</v>
      </c>
    </row>
    <row r="492" spans="1:14">
      <c r="A492" s="96">
        <v>454</v>
      </c>
      <c r="B492" s="102" t="e">
        <f t="shared" ca="1" si="91"/>
        <v>#REF!</v>
      </c>
      <c r="C492" s="102" t="e">
        <f t="shared" ca="1" si="92"/>
        <v>#REF!</v>
      </c>
      <c r="D492" s="102" t="e">
        <f t="shared" ca="1" si="93"/>
        <v>#REF!</v>
      </c>
      <c r="E492" s="102" t="e">
        <f t="shared" ca="1" si="94"/>
        <v>#REF!</v>
      </c>
      <c r="F492" s="102" t="e">
        <f t="shared" ca="1" si="95"/>
        <v>#REF!</v>
      </c>
      <c r="G492" s="103">
        <f t="shared" ca="1" si="96"/>
        <v>0.43838020615864948</v>
      </c>
      <c r="H492" s="103">
        <f t="shared" ca="1" si="97"/>
        <v>0.20380974576852426</v>
      </c>
      <c r="I492" s="103" t="e">
        <f t="shared" ca="1" si="98"/>
        <v>#REF!</v>
      </c>
      <c r="J492" s="103" t="e">
        <f t="shared" ca="1" si="99"/>
        <v>#REF!</v>
      </c>
      <c r="K492" s="103" t="e">
        <f t="shared" ca="1" si="100"/>
        <v>#REF!</v>
      </c>
      <c r="L492" s="103" t="e">
        <f t="shared" ca="1" si="101"/>
        <v>#REF!</v>
      </c>
      <c r="M492" s="103" t="e">
        <f t="shared" ca="1" si="102"/>
        <v>#REF!</v>
      </c>
      <c r="N492" s="104" t="e">
        <f t="shared" ca="1" si="103"/>
        <v>#REF!</v>
      </c>
    </row>
    <row r="493" spans="1:14">
      <c r="A493" s="95">
        <v>455</v>
      </c>
      <c r="B493" s="102" t="e">
        <f t="shared" ca="1" si="91"/>
        <v>#REF!</v>
      </c>
      <c r="C493" s="102" t="e">
        <f t="shared" ca="1" si="92"/>
        <v>#REF!</v>
      </c>
      <c r="D493" s="102" t="e">
        <f t="shared" ca="1" si="93"/>
        <v>#REF!</v>
      </c>
      <c r="E493" s="102" t="e">
        <f t="shared" ca="1" si="94"/>
        <v>#REF!</v>
      </c>
      <c r="F493" s="102" t="e">
        <f t="shared" ca="1" si="95"/>
        <v>#REF!</v>
      </c>
      <c r="G493" s="103">
        <f t="shared" ca="1" si="96"/>
        <v>0.45660751067946753</v>
      </c>
      <c r="H493" s="103">
        <f t="shared" ca="1" si="97"/>
        <v>0.19114579922574529</v>
      </c>
      <c r="I493" s="103" t="e">
        <f t="shared" ca="1" si="98"/>
        <v>#REF!</v>
      </c>
      <c r="J493" s="103" t="e">
        <f t="shared" ca="1" si="99"/>
        <v>#REF!</v>
      </c>
      <c r="K493" s="103" t="e">
        <f t="shared" ca="1" si="100"/>
        <v>#REF!</v>
      </c>
      <c r="L493" s="103" t="e">
        <f t="shared" ca="1" si="101"/>
        <v>#REF!</v>
      </c>
      <c r="M493" s="103" t="e">
        <f t="shared" ca="1" si="102"/>
        <v>#REF!</v>
      </c>
      <c r="N493" s="104" t="e">
        <f t="shared" ca="1" si="103"/>
        <v>#REF!</v>
      </c>
    </row>
    <row r="494" spans="1:14">
      <c r="A494" s="96">
        <v>456</v>
      </c>
      <c r="B494" s="102" t="e">
        <f t="shared" ca="1" si="91"/>
        <v>#REF!</v>
      </c>
      <c r="C494" s="102" t="e">
        <f t="shared" ca="1" si="92"/>
        <v>#REF!</v>
      </c>
      <c r="D494" s="102" t="e">
        <f t="shared" ca="1" si="93"/>
        <v>#REF!</v>
      </c>
      <c r="E494" s="102" t="e">
        <f t="shared" ca="1" si="94"/>
        <v>#REF!</v>
      </c>
      <c r="F494" s="102" t="e">
        <f t="shared" ca="1" si="95"/>
        <v>#REF!</v>
      </c>
      <c r="G494" s="103">
        <f t="shared" ca="1" si="96"/>
        <v>0.4378847167196539</v>
      </c>
      <c r="H494" s="103">
        <f t="shared" ca="1" si="97"/>
        <v>0.21515909327958893</v>
      </c>
      <c r="I494" s="103" t="e">
        <f t="shared" ca="1" si="98"/>
        <v>#REF!</v>
      </c>
      <c r="J494" s="103" t="e">
        <f t="shared" ca="1" si="99"/>
        <v>#REF!</v>
      </c>
      <c r="K494" s="103" t="e">
        <f t="shared" ca="1" si="100"/>
        <v>#REF!</v>
      </c>
      <c r="L494" s="103" t="e">
        <f t="shared" ca="1" si="101"/>
        <v>#REF!</v>
      </c>
      <c r="M494" s="103" t="e">
        <f t="shared" ca="1" si="102"/>
        <v>#REF!</v>
      </c>
      <c r="N494" s="104" t="e">
        <f t="shared" ca="1" si="103"/>
        <v>#REF!</v>
      </c>
    </row>
    <row r="495" spans="1:14">
      <c r="A495" s="95">
        <v>457</v>
      </c>
      <c r="B495" s="102" t="e">
        <f t="shared" ca="1" si="91"/>
        <v>#REF!</v>
      </c>
      <c r="C495" s="102" t="e">
        <f t="shared" ca="1" si="92"/>
        <v>#REF!</v>
      </c>
      <c r="D495" s="102" t="e">
        <f t="shared" ca="1" si="93"/>
        <v>#REF!</v>
      </c>
      <c r="E495" s="102" t="e">
        <f t="shared" ca="1" si="94"/>
        <v>#REF!</v>
      </c>
      <c r="F495" s="102" t="e">
        <f t="shared" ca="1" si="95"/>
        <v>#REF!</v>
      </c>
      <c r="G495" s="103">
        <f t="shared" ca="1" si="96"/>
        <v>0.42478488877293258</v>
      </c>
      <c r="H495" s="103">
        <f t="shared" ca="1" si="97"/>
        <v>0.19938947648676639</v>
      </c>
      <c r="I495" s="103" t="e">
        <f t="shared" ca="1" si="98"/>
        <v>#REF!</v>
      </c>
      <c r="J495" s="103" t="e">
        <f t="shared" ca="1" si="99"/>
        <v>#REF!</v>
      </c>
      <c r="K495" s="103" t="e">
        <f t="shared" ca="1" si="100"/>
        <v>#REF!</v>
      </c>
      <c r="L495" s="103" t="e">
        <f t="shared" ca="1" si="101"/>
        <v>#REF!</v>
      </c>
      <c r="M495" s="103" t="e">
        <f t="shared" ca="1" si="102"/>
        <v>#REF!</v>
      </c>
      <c r="N495" s="104" t="e">
        <f t="shared" ca="1" si="103"/>
        <v>#REF!</v>
      </c>
    </row>
    <row r="496" spans="1:14">
      <c r="A496" s="96">
        <v>458</v>
      </c>
      <c r="B496" s="102" t="e">
        <f t="shared" ca="1" si="91"/>
        <v>#REF!</v>
      </c>
      <c r="C496" s="102" t="e">
        <f t="shared" ca="1" si="92"/>
        <v>#REF!</v>
      </c>
      <c r="D496" s="102" t="e">
        <f t="shared" ca="1" si="93"/>
        <v>#REF!</v>
      </c>
      <c r="E496" s="102" t="e">
        <f t="shared" ca="1" si="94"/>
        <v>#REF!</v>
      </c>
      <c r="F496" s="102" t="e">
        <f t="shared" ca="1" si="95"/>
        <v>#REF!</v>
      </c>
      <c r="G496" s="103">
        <f t="shared" ca="1" si="96"/>
        <v>0.43469100638518865</v>
      </c>
      <c r="H496" s="103">
        <f t="shared" ca="1" si="97"/>
        <v>0.21484557533685636</v>
      </c>
      <c r="I496" s="103" t="e">
        <f t="shared" ca="1" si="98"/>
        <v>#REF!</v>
      </c>
      <c r="J496" s="103" t="e">
        <f t="shared" ca="1" si="99"/>
        <v>#REF!</v>
      </c>
      <c r="K496" s="103" t="e">
        <f t="shared" ca="1" si="100"/>
        <v>#REF!</v>
      </c>
      <c r="L496" s="103" t="e">
        <f t="shared" ca="1" si="101"/>
        <v>#REF!</v>
      </c>
      <c r="M496" s="103" t="e">
        <f t="shared" ca="1" si="102"/>
        <v>#REF!</v>
      </c>
      <c r="N496" s="104" t="e">
        <f t="shared" ca="1" si="103"/>
        <v>#REF!</v>
      </c>
    </row>
    <row r="497" spans="1:14">
      <c r="A497" s="95">
        <v>459</v>
      </c>
      <c r="B497" s="102" t="e">
        <f t="shared" ca="1" si="91"/>
        <v>#REF!</v>
      </c>
      <c r="C497" s="102" t="e">
        <f t="shared" ca="1" si="92"/>
        <v>#REF!</v>
      </c>
      <c r="D497" s="102" t="e">
        <f t="shared" ca="1" si="93"/>
        <v>#REF!</v>
      </c>
      <c r="E497" s="102" t="e">
        <f t="shared" ca="1" si="94"/>
        <v>#REF!</v>
      </c>
      <c r="F497" s="102" t="e">
        <f t="shared" ca="1" si="95"/>
        <v>#REF!</v>
      </c>
      <c r="G497" s="103">
        <f t="shared" ca="1" si="96"/>
        <v>0.44173297860091454</v>
      </c>
      <c r="H497" s="103">
        <f t="shared" ca="1" si="97"/>
        <v>0.19488883608593988</v>
      </c>
      <c r="I497" s="103" t="e">
        <f t="shared" ca="1" si="98"/>
        <v>#REF!</v>
      </c>
      <c r="J497" s="103" t="e">
        <f t="shared" ca="1" si="99"/>
        <v>#REF!</v>
      </c>
      <c r="K497" s="103" t="e">
        <f t="shared" ca="1" si="100"/>
        <v>#REF!</v>
      </c>
      <c r="L497" s="103" t="e">
        <f t="shared" ca="1" si="101"/>
        <v>#REF!</v>
      </c>
      <c r="M497" s="103" t="e">
        <f t="shared" ca="1" si="102"/>
        <v>#REF!</v>
      </c>
      <c r="N497" s="104" t="e">
        <f t="shared" ca="1" si="103"/>
        <v>#REF!</v>
      </c>
    </row>
    <row r="498" spans="1:14">
      <c r="A498" s="96">
        <v>460</v>
      </c>
      <c r="B498" s="102" t="e">
        <f t="shared" ca="1" si="91"/>
        <v>#REF!</v>
      </c>
      <c r="C498" s="102" t="e">
        <f t="shared" ca="1" si="92"/>
        <v>#REF!</v>
      </c>
      <c r="D498" s="102" t="e">
        <f t="shared" ca="1" si="93"/>
        <v>#REF!</v>
      </c>
      <c r="E498" s="102" t="e">
        <f t="shared" ca="1" si="94"/>
        <v>#REF!</v>
      </c>
      <c r="F498" s="102" t="e">
        <f t="shared" ca="1" si="95"/>
        <v>#REF!</v>
      </c>
      <c r="G498" s="103">
        <f t="shared" ca="1" si="96"/>
        <v>0.46017044033101301</v>
      </c>
      <c r="H498" s="103">
        <f t="shared" ca="1" si="97"/>
        <v>0.21163339408396631</v>
      </c>
      <c r="I498" s="103" t="e">
        <f t="shared" ca="1" si="98"/>
        <v>#REF!</v>
      </c>
      <c r="J498" s="103" t="e">
        <f t="shared" ca="1" si="99"/>
        <v>#REF!</v>
      </c>
      <c r="K498" s="103" t="e">
        <f t="shared" ca="1" si="100"/>
        <v>#REF!</v>
      </c>
      <c r="L498" s="103" t="e">
        <f t="shared" ca="1" si="101"/>
        <v>#REF!</v>
      </c>
      <c r="M498" s="103" t="e">
        <f t="shared" ca="1" si="102"/>
        <v>#REF!</v>
      </c>
      <c r="N498" s="104" t="e">
        <f t="shared" ca="1" si="103"/>
        <v>#REF!</v>
      </c>
    </row>
    <row r="499" spans="1:14">
      <c r="A499" s="95">
        <v>461</v>
      </c>
      <c r="B499" s="102" t="e">
        <f t="shared" ca="1" si="91"/>
        <v>#REF!</v>
      </c>
      <c r="C499" s="102" t="e">
        <f t="shared" ca="1" si="92"/>
        <v>#REF!</v>
      </c>
      <c r="D499" s="102" t="e">
        <f t="shared" ca="1" si="93"/>
        <v>#REF!</v>
      </c>
      <c r="E499" s="102" t="e">
        <f t="shared" ca="1" si="94"/>
        <v>#REF!</v>
      </c>
      <c r="F499" s="102" t="e">
        <f t="shared" ca="1" si="95"/>
        <v>#REF!</v>
      </c>
      <c r="G499" s="103">
        <f t="shared" ca="1" si="96"/>
        <v>0.44783662445446926</v>
      </c>
      <c r="H499" s="103">
        <f t="shared" ca="1" si="97"/>
        <v>0.20973158895943705</v>
      </c>
      <c r="I499" s="103" t="e">
        <f t="shared" ca="1" si="98"/>
        <v>#REF!</v>
      </c>
      <c r="J499" s="103" t="e">
        <f t="shared" ca="1" si="99"/>
        <v>#REF!</v>
      </c>
      <c r="K499" s="103" t="e">
        <f t="shared" ca="1" si="100"/>
        <v>#REF!</v>
      </c>
      <c r="L499" s="103" t="e">
        <f t="shared" ca="1" si="101"/>
        <v>#REF!</v>
      </c>
      <c r="M499" s="103" t="e">
        <f t="shared" ca="1" si="102"/>
        <v>#REF!</v>
      </c>
      <c r="N499" s="104" t="e">
        <f t="shared" ca="1" si="103"/>
        <v>#REF!</v>
      </c>
    </row>
    <row r="500" spans="1:14">
      <c r="A500" s="96">
        <v>462</v>
      </c>
      <c r="B500" s="102" t="e">
        <f t="shared" ca="1" si="91"/>
        <v>#REF!</v>
      </c>
      <c r="C500" s="102" t="e">
        <f t="shared" ca="1" si="92"/>
        <v>#REF!</v>
      </c>
      <c r="D500" s="102" t="e">
        <f t="shared" ca="1" si="93"/>
        <v>#REF!</v>
      </c>
      <c r="E500" s="102" t="e">
        <f t="shared" ca="1" si="94"/>
        <v>#REF!</v>
      </c>
      <c r="F500" s="102" t="e">
        <f t="shared" ca="1" si="95"/>
        <v>#REF!</v>
      </c>
      <c r="G500" s="103">
        <f t="shared" ca="1" si="96"/>
        <v>0.4289632679031164</v>
      </c>
      <c r="H500" s="103">
        <f t="shared" ca="1" si="97"/>
        <v>0.19454373776529138</v>
      </c>
      <c r="I500" s="103" t="e">
        <f t="shared" ca="1" si="98"/>
        <v>#REF!</v>
      </c>
      <c r="J500" s="103" t="e">
        <f t="shared" ca="1" si="99"/>
        <v>#REF!</v>
      </c>
      <c r="K500" s="103" t="e">
        <f t="shared" ca="1" si="100"/>
        <v>#REF!</v>
      </c>
      <c r="L500" s="103" t="e">
        <f t="shared" ca="1" si="101"/>
        <v>#REF!</v>
      </c>
      <c r="M500" s="103" t="e">
        <f t="shared" ca="1" si="102"/>
        <v>#REF!</v>
      </c>
      <c r="N500" s="104" t="e">
        <f t="shared" ca="1" si="103"/>
        <v>#REF!</v>
      </c>
    </row>
    <row r="501" spans="1:14">
      <c r="A501" s="95">
        <v>463</v>
      </c>
      <c r="B501" s="102" t="e">
        <f t="shared" ca="1" si="91"/>
        <v>#REF!</v>
      </c>
      <c r="C501" s="102" t="e">
        <f t="shared" ca="1" si="92"/>
        <v>#REF!</v>
      </c>
      <c r="D501" s="102" t="e">
        <f t="shared" ca="1" si="93"/>
        <v>#REF!</v>
      </c>
      <c r="E501" s="102" t="e">
        <f t="shared" ca="1" si="94"/>
        <v>#REF!</v>
      </c>
      <c r="F501" s="102" t="e">
        <f t="shared" ca="1" si="95"/>
        <v>#REF!</v>
      </c>
      <c r="G501" s="103">
        <f t="shared" ca="1" si="96"/>
        <v>0.42734381135405908</v>
      </c>
      <c r="H501" s="103">
        <f t="shared" ca="1" si="97"/>
        <v>0.21040426410125984</v>
      </c>
      <c r="I501" s="103" t="e">
        <f t="shared" ca="1" si="98"/>
        <v>#REF!</v>
      </c>
      <c r="J501" s="103" t="e">
        <f t="shared" ca="1" si="99"/>
        <v>#REF!</v>
      </c>
      <c r="K501" s="103" t="e">
        <f t="shared" ca="1" si="100"/>
        <v>#REF!</v>
      </c>
      <c r="L501" s="103" t="e">
        <f t="shared" ca="1" si="101"/>
        <v>#REF!</v>
      </c>
      <c r="M501" s="103" t="e">
        <f t="shared" ca="1" si="102"/>
        <v>#REF!</v>
      </c>
      <c r="N501" s="104" t="e">
        <f t="shared" ca="1" si="103"/>
        <v>#REF!</v>
      </c>
    </row>
    <row r="502" spans="1:14">
      <c r="A502" s="96">
        <v>464</v>
      </c>
      <c r="B502" s="102" t="e">
        <f t="shared" ca="1" si="91"/>
        <v>#REF!</v>
      </c>
      <c r="C502" s="102" t="e">
        <f t="shared" ca="1" si="92"/>
        <v>#REF!</v>
      </c>
      <c r="D502" s="102" t="e">
        <f t="shared" ca="1" si="93"/>
        <v>#REF!</v>
      </c>
      <c r="E502" s="102" t="e">
        <f t="shared" ca="1" si="94"/>
        <v>#REF!</v>
      </c>
      <c r="F502" s="102" t="e">
        <f t="shared" ca="1" si="95"/>
        <v>#REF!</v>
      </c>
      <c r="G502" s="103">
        <f t="shared" ca="1" si="96"/>
        <v>0.43583648282630238</v>
      </c>
      <c r="H502" s="103">
        <f t="shared" ca="1" si="97"/>
        <v>0.19618177344972934</v>
      </c>
      <c r="I502" s="103" t="e">
        <f t="shared" ca="1" si="98"/>
        <v>#REF!</v>
      </c>
      <c r="J502" s="103" t="e">
        <f t="shared" ca="1" si="99"/>
        <v>#REF!</v>
      </c>
      <c r="K502" s="103" t="e">
        <f t="shared" ca="1" si="100"/>
        <v>#REF!</v>
      </c>
      <c r="L502" s="103" t="e">
        <f t="shared" ca="1" si="101"/>
        <v>#REF!</v>
      </c>
      <c r="M502" s="103" t="e">
        <f t="shared" ca="1" si="102"/>
        <v>#REF!</v>
      </c>
      <c r="N502" s="104" t="e">
        <f t="shared" ca="1" si="103"/>
        <v>#REF!</v>
      </c>
    </row>
    <row r="503" spans="1:14">
      <c r="A503" s="95">
        <v>465</v>
      </c>
      <c r="B503" s="102" t="e">
        <f t="shared" ca="1" si="91"/>
        <v>#REF!</v>
      </c>
      <c r="C503" s="102" t="e">
        <f t="shared" ca="1" si="92"/>
        <v>#REF!</v>
      </c>
      <c r="D503" s="102" t="e">
        <f t="shared" ca="1" si="93"/>
        <v>#REF!</v>
      </c>
      <c r="E503" s="102" t="e">
        <f t="shared" ca="1" si="94"/>
        <v>#REF!</v>
      </c>
      <c r="F503" s="102" t="e">
        <f t="shared" ca="1" si="95"/>
        <v>#REF!</v>
      </c>
      <c r="G503" s="103">
        <f t="shared" ca="1" si="96"/>
        <v>0.40299791397980989</v>
      </c>
      <c r="H503" s="103">
        <f t="shared" ca="1" si="97"/>
        <v>0.20570022257515394</v>
      </c>
      <c r="I503" s="103" t="e">
        <f t="shared" ca="1" si="98"/>
        <v>#REF!</v>
      </c>
      <c r="J503" s="103" t="e">
        <f t="shared" ca="1" si="99"/>
        <v>#REF!</v>
      </c>
      <c r="K503" s="103" t="e">
        <f t="shared" ca="1" si="100"/>
        <v>#REF!</v>
      </c>
      <c r="L503" s="103" t="e">
        <f t="shared" ca="1" si="101"/>
        <v>#REF!</v>
      </c>
      <c r="M503" s="103" t="e">
        <f t="shared" ca="1" si="102"/>
        <v>#REF!</v>
      </c>
      <c r="N503" s="104" t="e">
        <f t="shared" ca="1" si="103"/>
        <v>#REF!</v>
      </c>
    </row>
    <row r="504" spans="1:14">
      <c r="A504" s="96">
        <v>466</v>
      </c>
      <c r="B504" s="102" t="e">
        <f t="shared" ca="1" si="91"/>
        <v>#REF!</v>
      </c>
      <c r="C504" s="102" t="e">
        <f t="shared" ca="1" si="92"/>
        <v>#REF!</v>
      </c>
      <c r="D504" s="102" t="e">
        <f t="shared" ca="1" si="93"/>
        <v>#REF!</v>
      </c>
      <c r="E504" s="102" t="e">
        <f t="shared" ca="1" si="94"/>
        <v>#REF!</v>
      </c>
      <c r="F504" s="102" t="e">
        <f t="shared" ca="1" si="95"/>
        <v>#REF!</v>
      </c>
      <c r="G504" s="103">
        <f t="shared" ca="1" si="96"/>
        <v>0.44495255313754623</v>
      </c>
      <c r="H504" s="103">
        <f t="shared" ca="1" si="97"/>
        <v>0.16725048601347325</v>
      </c>
      <c r="I504" s="103" t="e">
        <f t="shared" ca="1" si="98"/>
        <v>#REF!</v>
      </c>
      <c r="J504" s="103" t="e">
        <f t="shared" ca="1" si="99"/>
        <v>#REF!</v>
      </c>
      <c r="K504" s="103" t="e">
        <f t="shared" ca="1" si="100"/>
        <v>#REF!</v>
      </c>
      <c r="L504" s="103" t="e">
        <f t="shared" ca="1" si="101"/>
        <v>#REF!</v>
      </c>
      <c r="M504" s="103" t="e">
        <f t="shared" ca="1" si="102"/>
        <v>#REF!</v>
      </c>
      <c r="N504" s="104" t="e">
        <f t="shared" ca="1" si="103"/>
        <v>#REF!</v>
      </c>
    </row>
    <row r="505" spans="1:14">
      <c r="A505" s="95">
        <v>467</v>
      </c>
      <c r="B505" s="102" t="e">
        <f t="shared" ca="1" si="91"/>
        <v>#REF!</v>
      </c>
      <c r="C505" s="102" t="e">
        <f t="shared" ca="1" si="92"/>
        <v>#REF!</v>
      </c>
      <c r="D505" s="102" t="e">
        <f t="shared" ca="1" si="93"/>
        <v>#REF!</v>
      </c>
      <c r="E505" s="102" t="e">
        <f t="shared" ca="1" si="94"/>
        <v>#REF!</v>
      </c>
      <c r="F505" s="102" t="e">
        <f t="shared" ca="1" si="95"/>
        <v>#REF!</v>
      </c>
      <c r="G505" s="103">
        <f t="shared" ca="1" si="96"/>
        <v>0.48422395532295581</v>
      </c>
      <c r="H505" s="103">
        <f t="shared" ca="1" si="97"/>
        <v>0.1795810701127124</v>
      </c>
      <c r="I505" s="103" t="e">
        <f t="shared" ca="1" si="98"/>
        <v>#REF!</v>
      </c>
      <c r="J505" s="103" t="e">
        <f t="shared" ca="1" si="99"/>
        <v>#REF!</v>
      </c>
      <c r="K505" s="103" t="e">
        <f t="shared" ca="1" si="100"/>
        <v>#REF!</v>
      </c>
      <c r="L505" s="103" t="e">
        <f t="shared" ca="1" si="101"/>
        <v>#REF!</v>
      </c>
      <c r="M505" s="103" t="e">
        <f t="shared" ca="1" si="102"/>
        <v>#REF!</v>
      </c>
      <c r="N505" s="104" t="e">
        <f t="shared" ca="1" si="103"/>
        <v>#REF!</v>
      </c>
    </row>
    <row r="506" spans="1:14">
      <c r="A506" s="96">
        <v>468</v>
      </c>
      <c r="B506" s="102" t="e">
        <f t="shared" ca="1" si="91"/>
        <v>#REF!</v>
      </c>
      <c r="C506" s="102" t="e">
        <f t="shared" ca="1" si="92"/>
        <v>#REF!</v>
      </c>
      <c r="D506" s="102" t="e">
        <f t="shared" ca="1" si="93"/>
        <v>#REF!</v>
      </c>
      <c r="E506" s="102" t="e">
        <f t="shared" ca="1" si="94"/>
        <v>#REF!</v>
      </c>
      <c r="F506" s="102" t="e">
        <f t="shared" ca="1" si="95"/>
        <v>#REF!</v>
      </c>
      <c r="G506" s="103">
        <f t="shared" ca="1" si="96"/>
        <v>0.45036284635239004</v>
      </c>
      <c r="H506" s="103">
        <f t="shared" ca="1" si="97"/>
        <v>0.21709256553855522</v>
      </c>
      <c r="I506" s="103" t="e">
        <f t="shared" ca="1" si="98"/>
        <v>#REF!</v>
      </c>
      <c r="J506" s="103" t="e">
        <f t="shared" ca="1" si="99"/>
        <v>#REF!</v>
      </c>
      <c r="K506" s="103" t="e">
        <f t="shared" ca="1" si="100"/>
        <v>#REF!</v>
      </c>
      <c r="L506" s="103" t="e">
        <f t="shared" ca="1" si="101"/>
        <v>#REF!</v>
      </c>
      <c r="M506" s="103" t="e">
        <f t="shared" ca="1" si="102"/>
        <v>#REF!</v>
      </c>
      <c r="N506" s="104" t="e">
        <f t="shared" ca="1" si="103"/>
        <v>#REF!</v>
      </c>
    </row>
    <row r="507" spans="1:14">
      <c r="A507" s="95">
        <v>469</v>
      </c>
      <c r="B507" s="102" t="e">
        <f t="shared" ca="1" si="91"/>
        <v>#REF!</v>
      </c>
      <c r="C507" s="102" t="e">
        <f t="shared" ca="1" si="92"/>
        <v>#REF!</v>
      </c>
      <c r="D507" s="102" t="e">
        <f t="shared" ca="1" si="93"/>
        <v>#REF!</v>
      </c>
      <c r="E507" s="102" t="e">
        <f t="shared" ca="1" si="94"/>
        <v>#REF!</v>
      </c>
      <c r="F507" s="102" t="e">
        <f t="shared" ca="1" si="95"/>
        <v>#REF!</v>
      </c>
      <c r="G507" s="103">
        <f t="shared" ca="1" si="96"/>
        <v>0.42680923660067815</v>
      </c>
      <c r="H507" s="103">
        <f t="shared" ca="1" si="97"/>
        <v>0.21105756760877398</v>
      </c>
      <c r="I507" s="103" t="e">
        <f t="shared" ca="1" si="98"/>
        <v>#REF!</v>
      </c>
      <c r="J507" s="103" t="e">
        <f t="shared" ca="1" si="99"/>
        <v>#REF!</v>
      </c>
      <c r="K507" s="103" t="e">
        <f t="shared" ca="1" si="100"/>
        <v>#REF!</v>
      </c>
      <c r="L507" s="103" t="e">
        <f t="shared" ca="1" si="101"/>
        <v>#REF!</v>
      </c>
      <c r="M507" s="103" t="e">
        <f t="shared" ca="1" si="102"/>
        <v>#REF!</v>
      </c>
      <c r="N507" s="104" t="e">
        <f t="shared" ca="1" si="103"/>
        <v>#REF!</v>
      </c>
    </row>
    <row r="508" spans="1:14">
      <c r="A508" s="96">
        <v>470</v>
      </c>
      <c r="B508" s="102" t="e">
        <f t="shared" ca="1" si="91"/>
        <v>#REF!</v>
      </c>
      <c r="C508" s="102" t="e">
        <f t="shared" ca="1" si="92"/>
        <v>#REF!</v>
      </c>
      <c r="D508" s="102" t="e">
        <f t="shared" ca="1" si="93"/>
        <v>#REF!</v>
      </c>
      <c r="E508" s="102" t="e">
        <f t="shared" ca="1" si="94"/>
        <v>#REF!</v>
      </c>
      <c r="F508" s="102" t="e">
        <f t="shared" ca="1" si="95"/>
        <v>#REF!</v>
      </c>
      <c r="G508" s="103">
        <f t="shared" ca="1" si="96"/>
        <v>0.45598780123639304</v>
      </c>
      <c r="H508" s="103">
        <f t="shared" ca="1" si="97"/>
        <v>0.20652669048663538</v>
      </c>
      <c r="I508" s="103" t="e">
        <f t="shared" ca="1" si="98"/>
        <v>#REF!</v>
      </c>
      <c r="J508" s="103" t="e">
        <f t="shared" ca="1" si="99"/>
        <v>#REF!</v>
      </c>
      <c r="K508" s="103" t="e">
        <f t="shared" ca="1" si="100"/>
        <v>#REF!</v>
      </c>
      <c r="L508" s="103" t="e">
        <f t="shared" ca="1" si="101"/>
        <v>#REF!</v>
      </c>
      <c r="M508" s="103" t="e">
        <f t="shared" ca="1" si="102"/>
        <v>#REF!</v>
      </c>
      <c r="N508" s="104" t="e">
        <f t="shared" ca="1" si="103"/>
        <v>#REF!</v>
      </c>
    </row>
    <row r="509" spans="1:14">
      <c r="A509" s="95">
        <v>471</v>
      </c>
      <c r="B509" s="102" t="e">
        <f t="shared" ca="1" si="91"/>
        <v>#REF!</v>
      </c>
      <c r="C509" s="102" t="e">
        <f t="shared" ca="1" si="92"/>
        <v>#REF!</v>
      </c>
      <c r="D509" s="102" t="e">
        <f t="shared" ca="1" si="93"/>
        <v>#REF!</v>
      </c>
      <c r="E509" s="102" t="e">
        <f t="shared" ca="1" si="94"/>
        <v>#REF!</v>
      </c>
      <c r="F509" s="102" t="e">
        <f t="shared" ca="1" si="95"/>
        <v>#REF!</v>
      </c>
      <c r="G509" s="103">
        <f t="shared" ca="1" si="96"/>
        <v>0.48510486589721391</v>
      </c>
      <c r="H509" s="103">
        <f t="shared" ca="1" si="97"/>
        <v>0.19098983037340761</v>
      </c>
      <c r="I509" s="103" t="e">
        <f t="shared" ca="1" si="98"/>
        <v>#REF!</v>
      </c>
      <c r="J509" s="103" t="e">
        <f t="shared" ca="1" si="99"/>
        <v>#REF!</v>
      </c>
      <c r="K509" s="103" t="e">
        <f t="shared" ca="1" si="100"/>
        <v>#REF!</v>
      </c>
      <c r="L509" s="103" t="e">
        <f t="shared" ca="1" si="101"/>
        <v>#REF!</v>
      </c>
      <c r="M509" s="103" t="e">
        <f t="shared" ca="1" si="102"/>
        <v>#REF!</v>
      </c>
      <c r="N509" s="104" t="e">
        <f t="shared" ca="1" si="103"/>
        <v>#REF!</v>
      </c>
    </row>
    <row r="510" spans="1:14">
      <c r="A510" s="96">
        <v>472</v>
      </c>
      <c r="B510" s="102" t="e">
        <f t="shared" ca="1" si="91"/>
        <v>#REF!</v>
      </c>
      <c r="C510" s="102" t="e">
        <f t="shared" ca="1" si="92"/>
        <v>#REF!</v>
      </c>
      <c r="D510" s="102" t="e">
        <f t="shared" ca="1" si="93"/>
        <v>#REF!</v>
      </c>
      <c r="E510" s="102" t="e">
        <f t="shared" ca="1" si="94"/>
        <v>#REF!</v>
      </c>
      <c r="F510" s="102" t="e">
        <f t="shared" ca="1" si="95"/>
        <v>#REF!</v>
      </c>
      <c r="G510" s="103">
        <f t="shared" ca="1" si="96"/>
        <v>0.40673051469403532</v>
      </c>
      <c r="H510" s="103">
        <f t="shared" ca="1" si="97"/>
        <v>0.21955842608164158</v>
      </c>
      <c r="I510" s="103" t="e">
        <f t="shared" ca="1" si="98"/>
        <v>#REF!</v>
      </c>
      <c r="J510" s="103" t="e">
        <f t="shared" ca="1" si="99"/>
        <v>#REF!</v>
      </c>
      <c r="K510" s="103" t="e">
        <f t="shared" ca="1" si="100"/>
        <v>#REF!</v>
      </c>
      <c r="L510" s="103" t="e">
        <f t="shared" ca="1" si="101"/>
        <v>#REF!</v>
      </c>
      <c r="M510" s="103" t="e">
        <f t="shared" ca="1" si="102"/>
        <v>#REF!</v>
      </c>
      <c r="N510" s="104" t="e">
        <f t="shared" ca="1" si="103"/>
        <v>#REF!</v>
      </c>
    </row>
    <row r="511" spans="1:14">
      <c r="A511" s="95">
        <v>473</v>
      </c>
      <c r="B511" s="102" t="e">
        <f t="shared" ca="1" si="91"/>
        <v>#REF!</v>
      </c>
      <c r="C511" s="102" t="e">
        <f t="shared" ca="1" si="92"/>
        <v>#REF!</v>
      </c>
      <c r="D511" s="102" t="e">
        <f t="shared" ca="1" si="93"/>
        <v>#REF!</v>
      </c>
      <c r="E511" s="102" t="e">
        <f t="shared" ca="1" si="94"/>
        <v>#REF!</v>
      </c>
      <c r="F511" s="102" t="e">
        <f t="shared" ca="1" si="95"/>
        <v>#REF!</v>
      </c>
      <c r="G511" s="103">
        <f t="shared" ca="1" si="96"/>
        <v>0.44746350036532762</v>
      </c>
      <c r="H511" s="103">
        <f t="shared" ca="1" si="97"/>
        <v>0.19459180648876259</v>
      </c>
      <c r="I511" s="103" t="e">
        <f t="shared" ca="1" si="98"/>
        <v>#REF!</v>
      </c>
      <c r="J511" s="103" t="e">
        <f t="shared" ca="1" si="99"/>
        <v>#REF!</v>
      </c>
      <c r="K511" s="103" t="e">
        <f t="shared" ca="1" si="100"/>
        <v>#REF!</v>
      </c>
      <c r="L511" s="103" t="e">
        <f t="shared" ca="1" si="101"/>
        <v>#REF!</v>
      </c>
      <c r="M511" s="103" t="e">
        <f t="shared" ca="1" si="102"/>
        <v>#REF!</v>
      </c>
      <c r="N511" s="104" t="e">
        <f t="shared" ca="1" si="103"/>
        <v>#REF!</v>
      </c>
    </row>
    <row r="512" spans="1:14">
      <c r="A512" s="96">
        <v>474</v>
      </c>
      <c r="B512" s="102" t="e">
        <f t="shared" ca="1" si="91"/>
        <v>#REF!</v>
      </c>
      <c r="C512" s="102" t="e">
        <f t="shared" ca="1" si="92"/>
        <v>#REF!</v>
      </c>
      <c r="D512" s="102" t="e">
        <f t="shared" ca="1" si="93"/>
        <v>#REF!</v>
      </c>
      <c r="E512" s="102" t="e">
        <f t="shared" ca="1" si="94"/>
        <v>#REF!</v>
      </c>
      <c r="F512" s="102" t="e">
        <f t="shared" ca="1" si="95"/>
        <v>#REF!</v>
      </c>
      <c r="G512" s="103">
        <f t="shared" ca="1" si="96"/>
        <v>0.40088757168700678</v>
      </c>
      <c r="H512" s="103">
        <f t="shared" ca="1" si="97"/>
        <v>0.19552956603737154</v>
      </c>
      <c r="I512" s="103" t="e">
        <f t="shared" ca="1" si="98"/>
        <v>#REF!</v>
      </c>
      <c r="J512" s="103" t="e">
        <f t="shared" ca="1" si="99"/>
        <v>#REF!</v>
      </c>
      <c r="K512" s="103" t="e">
        <f t="shared" ca="1" si="100"/>
        <v>#REF!</v>
      </c>
      <c r="L512" s="103" t="e">
        <f t="shared" ca="1" si="101"/>
        <v>#REF!</v>
      </c>
      <c r="M512" s="103" t="e">
        <f t="shared" ca="1" si="102"/>
        <v>#REF!</v>
      </c>
      <c r="N512" s="104" t="e">
        <f t="shared" ca="1" si="103"/>
        <v>#REF!</v>
      </c>
    </row>
    <row r="513" spans="1:14">
      <c r="A513" s="95">
        <v>475</v>
      </c>
      <c r="B513" s="102" t="e">
        <f t="shared" ca="1" si="91"/>
        <v>#REF!</v>
      </c>
      <c r="C513" s="102" t="e">
        <f t="shared" ca="1" si="92"/>
        <v>#REF!</v>
      </c>
      <c r="D513" s="102" t="e">
        <f t="shared" ca="1" si="93"/>
        <v>#REF!</v>
      </c>
      <c r="E513" s="102" t="e">
        <f t="shared" ca="1" si="94"/>
        <v>#REF!</v>
      </c>
      <c r="F513" s="102" t="e">
        <f t="shared" ca="1" si="95"/>
        <v>#REF!</v>
      </c>
      <c r="G513" s="103">
        <f t="shared" ca="1" si="96"/>
        <v>0.48766020278059691</v>
      </c>
      <c r="H513" s="103">
        <f t="shared" ca="1" si="97"/>
        <v>0.20508207280646704</v>
      </c>
      <c r="I513" s="103" t="e">
        <f t="shared" ca="1" si="98"/>
        <v>#REF!</v>
      </c>
      <c r="J513" s="103" t="e">
        <f t="shared" ca="1" si="99"/>
        <v>#REF!</v>
      </c>
      <c r="K513" s="103" t="e">
        <f t="shared" ca="1" si="100"/>
        <v>#REF!</v>
      </c>
      <c r="L513" s="103" t="e">
        <f t="shared" ca="1" si="101"/>
        <v>#REF!</v>
      </c>
      <c r="M513" s="103" t="e">
        <f t="shared" ca="1" si="102"/>
        <v>#REF!</v>
      </c>
      <c r="N513" s="104" t="e">
        <f t="shared" ca="1" si="103"/>
        <v>#REF!</v>
      </c>
    </row>
    <row r="514" spans="1:14">
      <c r="A514" s="96">
        <v>476</v>
      </c>
      <c r="B514" s="102" t="e">
        <f t="shared" ca="1" si="91"/>
        <v>#REF!</v>
      </c>
      <c r="C514" s="102" t="e">
        <f t="shared" ca="1" si="92"/>
        <v>#REF!</v>
      </c>
      <c r="D514" s="102" t="e">
        <f t="shared" ca="1" si="93"/>
        <v>#REF!</v>
      </c>
      <c r="E514" s="102" t="e">
        <f t="shared" ca="1" si="94"/>
        <v>#REF!</v>
      </c>
      <c r="F514" s="102" t="e">
        <f t="shared" ca="1" si="95"/>
        <v>#REF!</v>
      </c>
      <c r="G514" s="103">
        <f t="shared" ca="1" si="96"/>
        <v>0.46931672360988508</v>
      </c>
      <c r="H514" s="103">
        <f t="shared" ca="1" si="97"/>
        <v>0.18811146832920478</v>
      </c>
      <c r="I514" s="103" t="e">
        <f t="shared" ca="1" si="98"/>
        <v>#REF!</v>
      </c>
      <c r="J514" s="103" t="e">
        <f t="shared" ca="1" si="99"/>
        <v>#REF!</v>
      </c>
      <c r="K514" s="103" t="e">
        <f t="shared" ca="1" si="100"/>
        <v>#REF!</v>
      </c>
      <c r="L514" s="103" t="e">
        <f t="shared" ca="1" si="101"/>
        <v>#REF!</v>
      </c>
      <c r="M514" s="103" t="e">
        <f t="shared" ca="1" si="102"/>
        <v>#REF!</v>
      </c>
      <c r="N514" s="104" t="e">
        <f t="shared" ca="1" si="103"/>
        <v>#REF!</v>
      </c>
    </row>
    <row r="515" spans="1:14">
      <c r="A515" s="95">
        <v>477</v>
      </c>
      <c r="B515" s="102" t="e">
        <f t="shared" ca="1" si="91"/>
        <v>#REF!</v>
      </c>
      <c r="C515" s="102" t="e">
        <f t="shared" ca="1" si="92"/>
        <v>#REF!</v>
      </c>
      <c r="D515" s="102" t="e">
        <f t="shared" ca="1" si="93"/>
        <v>#REF!</v>
      </c>
      <c r="E515" s="102" t="e">
        <f t="shared" ca="1" si="94"/>
        <v>#REF!</v>
      </c>
      <c r="F515" s="102" t="e">
        <f t="shared" ca="1" si="95"/>
        <v>#REF!</v>
      </c>
      <c r="G515" s="103">
        <f t="shared" ca="1" si="96"/>
        <v>0.38874280734816291</v>
      </c>
      <c r="H515" s="103">
        <f t="shared" ca="1" si="97"/>
        <v>0.20193895342608134</v>
      </c>
      <c r="I515" s="103" t="e">
        <f t="shared" ca="1" si="98"/>
        <v>#REF!</v>
      </c>
      <c r="J515" s="103" t="e">
        <f t="shared" ca="1" si="99"/>
        <v>#REF!</v>
      </c>
      <c r="K515" s="103" t="e">
        <f t="shared" ca="1" si="100"/>
        <v>#REF!</v>
      </c>
      <c r="L515" s="103" t="e">
        <f t="shared" ca="1" si="101"/>
        <v>#REF!</v>
      </c>
      <c r="M515" s="103" t="e">
        <f t="shared" ca="1" si="102"/>
        <v>#REF!</v>
      </c>
      <c r="N515" s="104" t="e">
        <f t="shared" ca="1" si="103"/>
        <v>#REF!</v>
      </c>
    </row>
    <row r="516" spans="1:14">
      <c r="A516" s="96">
        <v>478</v>
      </c>
      <c r="B516" s="102" t="e">
        <f t="shared" ca="1" si="91"/>
        <v>#REF!</v>
      </c>
      <c r="C516" s="102" t="e">
        <f t="shared" ca="1" si="92"/>
        <v>#REF!</v>
      </c>
      <c r="D516" s="102" t="e">
        <f t="shared" ca="1" si="93"/>
        <v>#REF!</v>
      </c>
      <c r="E516" s="102" t="e">
        <f t="shared" ca="1" si="94"/>
        <v>#REF!</v>
      </c>
      <c r="F516" s="102" t="e">
        <f t="shared" ca="1" si="95"/>
        <v>#REF!</v>
      </c>
      <c r="G516" s="103">
        <f t="shared" ca="1" si="96"/>
        <v>0.47474291694311443</v>
      </c>
      <c r="H516" s="103">
        <f t="shared" ca="1" si="97"/>
        <v>0.20208351599898258</v>
      </c>
      <c r="I516" s="103" t="e">
        <f t="shared" ca="1" si="98"/>
        <v>#REF!</v>
      </c>
      <c r="J516" s="103" t="e">
        <f t="shared" ca="1" si="99"/>
        <v>#REF!</v>
      </c>
      <c r="K516" s="103" t="e">
        <f t="shared" ca="1" si="100"/>
        <v>#REF!</v>
      </c>
      <c r="L516" s="103" t="e">
        <f t="shared" ca="1" si="101"/>
        <v>#REF!</v>
      </c>
      <c r="M516" s="103" t="e">
        <f t="shared" ca="1" si="102"/>
        <v>#REF!</v>
      </c>
      <c r="N516" s="104" t="e">
        <f t="shared" ca="1" si="103"/>
        <v>#REF!</v>
      </c>
    </row>
    <row r="517" spans="1:14">
      <c r="A517" s="95">
        <v>479</v>
      </c>
      <c r="B517" s="102" t="e">
        <f t="shared" ca="1" si="91"/>
        <v>#REF!</v>
      </c>
      <c r="C517" s="102" t="e">
        <f t="shared" ca="1" si="92"/>
        <v>#REF!</v>
      </c>
      <c r="D517" s="102" t="e">
        <f t="shared" ca="1" si="93"/>
        <v>#REF!</v>
      </c>
      <c r="E517" s="102" t="e">
        <f t="shared" ca="1" si="94"/>
        <v>#REF!</v>
      </c>
      <c r="F517" s="102" t="e">
        <f t="shared" ca="1" si="95"/>
        <v>#REF!</v>
      </c>
      <c r="G517" s="103">
        <f t="shared" ca="1" si="96"/>
        <v>0.42241928032051346</v>
      </c>
      <c r="H517" s="103">
        <f t="shared" ca="1" si="97"/>
        <v>0.17640870882832732</v>
      </c>
      <c r="I517" s="103" t="e">
        <f t="shared" ca="1" si="98"/>
        <v>#REF!</v>
      </c>
      <c r="J517" s="103" t="e">
        <f t="shared" ca="1" si="99"/>
        <v>#REF!</v>
      </c>
      <c r="K517" s="103" t="e">
        <f t="shared" ca="1" si="100"/>
        <v>#REF!</v>
      </c>
      <c r="L517" s="103" t="e">
        <f t="shared" ca="1" si="101"/>
        <v>#REF!</v>
      </c>
      <c r="M517" s="103" t="e">
        <f t="shared" ca="1" si="102"/>
        <v>#REF!</v>
      </c>
      <c r="N517" s="104" t="e">
        <f t="shared" ca="1" si="103"/>
        <v>#REF!</v>
      </c>
    </row>
    <row r="518" spans="1:14">
      <c r="A518" s="96">
        <v>480</v>
      </c>
      <c r="B518" s="102" t="e">
        <f t="shared" ca="1" si="91"/>
        <v>#REF!</v>
      </c>
      <c r="C518" s="102" t="e">
        <f t="shared" ca="1" si="92"/>
        <v>#REF!</v>
      </c>
      <c r="D518" s="102" t="e">
        <f t="shared" ca="1" si="93"/>
        <v>#REF!</v>
      </c>
      <c r="E518" s="102" t="e">
        <f t="shared" ca="1" si="94"/>
        <v>#REF!</v>
      </c>
      <c r="F518" s="102" t="e">
        <f t="shared" ca="1" si="95"/>
        <v>#REF!</v>
      </c>
      <c r="G518" s="103">
        <f t="shared" ca="1" si="96"/>
        <v>0.49693263240276619</v>
      </c>
      <c r="H518" s="103">
        <f t="shared" ca="1" si="97"/>
        <v>0.21063695992691361</v>
      </c>
      <c r="I518" s="103" t="e">
        <f t="shared" ca="1" si="98"/>
        <v>#REF!</v>
      </c>
      <c r="J518" s="103" t="e">
        <f t="shared" ca="1" si="99"/>
        <v>#REF!</v>
      </c>
      <c r="K518" s="103" t="e">
        <f t="shared" ca="1" si="100"/>
        <v>#REF!</v>
      </c>
      <c r="L518" s="103" t="e">
        <f t="shared" ca="1" si="101"/>
        <v>#REF!</v>
      </c>
      <c r="M518" s="103" t="e">
        <f t="shared" ca="1" si="102"/>
        <v>#REF!</v>
      </c>
      <c r="N518" s="104" t="e">
        <f t="shared" ca="1" si="103"/>
        <v>#REF!</v>
      </c>
    </row>
    <row r="519" spans="1:14">
      <c r="A519" s="95">
        <v>481</v>
      </c>
      <c r="B519" s="102" t="e">
        <f t="shared" ca="1" si="91"/>
        <v>#REF!</v>
      </c>
      <c r="C519" s="102" t="e">
        <f t="shared" ca="1" si="92"/>
        <v>#REF!</v>
      </c>
      <c r="D519" s="102" t="e">
        <f t="shared" ca="1" si="93"/>
        <v>#REF!</v>
      </c>
      <c r="E519" s="102" t="e">
        <f t="shared" ca="1" si="94"/>
        <v>#REF!</v>
      </c>
      <c r="F519" s="102" t="e">
        <f t="shared" ca="1" si="95"/>
        <v>#REF!</v>
      </c>
      <c r="G519" s="103">
        <f t="shared" ca="1" si="96"/>
        <v>0.44965403051956143</v>
      </c>
      <c r="H519" s="103">
        <f t="shared" ca="1" si="97"/>
        <v>0.19096810394453215</v>
      </c>
      <c r="I519" s="103" t="e">
        <f t="shared" ca="1" si="98"/>
        <v>#REF!</v>
      </c>
      <c r="J519" s="103" t="e">
        <f t="shared" ca="1" si="99"/>
        <v>#REF!</v>
      </c>
      <c r="K519" s="103" t="e">
        <f t="shared" ca="1" si="100"/>
        <v>#REF!</v>
      </c>
      <c r="L519" s="103" t="e">
        <f t="shared" ca="1" si="101"/>
        <v>#REF!</v>
      </c>
      <c r="M519" s="103" t="e">
        <f t="shared" ca="1" si="102"/>
        <v>#REF!</v>
      </c>
      <c r="N519" s="104" t="e">
        <f t="shared" ca="1" si="103"/>
        <v>#REF!</v>
      </c>
    </row>
    <row r="520" spans="1:14">
      <c r="A520" s="96">
        <v>482</v>
      </c>
      <c r="B520" s="102" t="e">
        <f t="shared" ca="1" si="91"/>
        <v>#REF!</v>
      </c>
      <c r="C520" s="102" t="e">
        <f t="shared" ca="1" si="92"/>
        <v>#REF!</v>
      </c>
      <c r="D520" s="102" t="e">
        <f t="shared" ca="1" si="93"/>
        <v>#REF!</v>
      </c>
      <c r="E520" s="102" t="e">
        <f t="shared" ca="1" si="94"/>
        <v>#REF!</v>
      </c>
      <c r="F520" s="102" t="e">
        <f t="shared" ca="1" si="95"/>
        <v>#REF!</v>
      </c>
      <c r="G520" s="103">
        <f t="shared" ca="1" si="96"/>
        <v>0.43356462776580679</v>
      </c>
      <c r="H520" s="103">
        <f t="shared" ca="1" si="97"/>
        <v>0.19831259295453038</v>
      </c>
      <c r="I520" s="103" t="e">
        <f t="shared" ca="1" si="98"/>
        <v>#REF!</v>
      </c>
      <c r="J520" s="103" t="e">
        <f t="shared" ca="1" si="99"/>
        <v>#REF!</v>
      </c>
      <c r="K520" s="103" t="e">
        <f t="shared" ca="1" si="100"/>
        <v>#REF!</v>
      </c>
      <c r="L520" s="103" t="e">
        <f t="shared" ca="1" si="101"/>
        <v>#REF!</v>
      </c>
      <c r="M520" s="103" t="e">
        <f t="shared" ca="1" si="102"/>
        <v>#REF!</v>
      </c>
      <c r="N520" s="104" t="e">
        <f t="shared" ca="1" si="103"/>
        <v>#REF!</v>
      </c>
    </row>
    <row r="521" spans="1:14">
      <c r="A521" s="95">
        <v>483</v>
      </c>
      <c r="B521" s="102" t="e">
        <f t="shared" ca="1" si="91"/>
        <v>#REF!</v>
      </c>
      <c r="C521" s="102" t="e">
        <f t="shared" ca="1" si="92"/>
        <v>#REF!</v>
      </c>
      <c r="D521" s="102" t="e">
        <f t="shared" ca="1" si="93"/>
        <v>#REF!</v>
      </c>
      <c r="E521" s="102" t="e">
        <f t="shared" ca="1" si="94"/>
        <v>#REF!</v>
      </c>
      <c r="F521" s="102" t="e">
        <f t="shared" ca="1" si="95"/>
        <v>#REF!</v>
      </c>
      <c r="G521" s="103">
        <f t="shared" ca="1" si="96"/>
        <v>0.41335163914611128</v>
      </c>
      <c r="H521" s="103">
        <f t="shared" ca="1" si="97"/>
        <v>0.2226219967828027</v>
      </c>
      <c r="I521" s="103" t="e">
        <f t="shared" ca="1" si="98"/>
        <v>#REF!</v>
      </c>
      <c r="J521" s="103" t="e">
        <f t="shared" ca="1" si="99"/>
        <v>#REF!</v>
      </c>
      <c r="K521" s="103" t="e">
        <f t="shared" ca="1" si="100"/>
        <v>#REF!</v>
      </c>
      <c r="L521" s="103" t="e">
        <f t="shared" ca="1" si="101"/>
        <v>#REF!</v>
      </c>
      <c r="M521" s="103" t="e">
        <f t="shared" ca="1" si="102"/>
        <v>#REF!</v>
      </c>
      <c r="N521" s="104" t="e">
        <f t="shared" ca="1" si="103"/>
        <v>#REF!</v>
      </c>
    </row>
    <row r="522" spans="1:14">
      <c r="A522" s="96">
        <v>484</v>
      </c>
      <c r="B522" s="102" t="e">
        <f t="shared" ca="1" si="91"/>
        <v>#REF!</v>
      </c>
      <c r="C522" s="102" t="e">
        <f t="shared" ca="1" si="92"/>
        <v>#REF!</v>
      </c>
      <c r="D522" s="102" t="e">
        <f t="shared" ca="1" si="93"/>
        <v>#REF!</v>
      </c>
      <c r="E522" s="102" t="e">
        <f t="shared" ca="1" si="94"/>
        <v>#REF!</v>
      </c>
      <c r="F522" s="102" t="e">
        <f t="shared" ca="1" si="95"/>
        <v>#REF!</v>
      </c>
      <c r="G522" s="103">
        <f t="shared" ca="1" si="96"/>
        <v>0.43048811842210416</v>
      </c>
      <c r="H522" s="103">
        <f t="shared" ca="1" si="97"/>
        <v>0.19220135795032917</v>
      </c>
      <c r="I522" s="103" t="e">
        <f t="shared" ca="1" si="98"/>
        <v>#REF!</v>
      </c>
      <c r="J522" s="103" t="e">
        <f t="shared" ca="1" si="99"/>
        <v>#REF!</v>
      </c>
      <c r="K522" s="103" t="e">
        <f t="shared" ca="1" si="100"/>
        <v>#REF!</v>
      </c>
      <c r="L522" s="103" t="e">
        <f t="shared" ca="1" si="101"/>
        <v>#REF!</v>
      </c>
      <c r="M522" s="103" t="e">
        <f t="shared" ca="1" si="102"/>
        <v>#REF!</v>
      </c>
      <c r="N522" s="104" t="e">
        <f t="shared" ca="1" si="103"/>
        <v>#REF!</v>
      </c>
    </row>
    <row r="523" spans="1:14">
      <c r="A523" s="95">
        <v>485</v>
      </c>
      <c r="B523" s="102" t="e">
        <f t="shared" ca="1" si="91"/>
        <v>#REF!</v>
      </c>
      <c r="C523" s="102" t="e">
        <f t="shared" ca="1" si="92"/>
        <v>#REF!</v>
      </c>
      <c r="D523" s="102" t="e">
        <f t="shared" ca="1" si="93"/>
        <v>#REF!</v>
      </c>
      <c r="E523" s="102" t="e">
        <f t="shared" ca="1" si="94"/>
        <v>#REF!</v>
      </c>
      <c r="F523" s="102" t="e">
        <f t="shared" ca="1" si="95"/>
        <v>#REF!</v>
      </c>
      <c r="G523" s="103">
        <f t="shared" ca="1" si="96"/>
        <v>0.44150526536045076</v>
      </c>
      <c r="H523" s="103">
        <f t="shared" ca="1" si="97"/>
        <v>0.21063515763206631</v>
      </c>
      <c r="I523" s="103" t="e">
        <f t="shared" ca="1" si="98"/>
        <v>#REF!</v>
      </c>
      <c r="J523" s="103" t="e">
        <f t="shared" ca="1" si="99"/>
        <v>#REF!</v>
      </c>
      <c r="K523" s="103" t="e">
        <f t="shared" ca="1" si="100"/>
        <v>#REF!</v>
      </c>
      <c r="L523" s="103" t="e">
        <f t="shared" ca="1" si="101"/>
        <v>#REF!</v>
      </c>
      <c r="M523" s="103" t="e">
        <f t="shared" ca="1" si="102"/>
        <v>#REF!</v>
      </c>
      <c r="N523" s="104" t="e">
        <f t="shared" ca="1" si="103"/>
        <v>#REF!</v>
      </c>
    </row>
    <row r="524" spans="1:14">
      <c r="A524" s="96">
        <v>486</v>
      </c>
      <c r="B524" s="102" t="e">
        <f t="shared" ca="1" si="91"/>
        <v>#REF!</v>
      </c>
      <c r="C524" s="102" t="e">
        <f t="shared" ca="1" si="92"/>
        <v>#REF!</v>
      </c>
      <c r="D524" s="102" t="e">
        <f t="shared" ca="1" si="93"/>
        <v>#REF!</v>
      </c>
      <c r="E524" s="102" t="e">
        <f t="shared" ca="1" si="94"/>
        <v>#REF!</v>
      </c>
      <c r="F524" s="102" t="e">
        <f t="shared" ca="1" si="95"/>
        <v>#REF!</v>
      </c>
      <c r="G524" s="103">
        <f t="shared" ca="1" si="96"/>
        <v>0.45315513731395513</v>
      </c>
      <c r="H524" s="103">
        <f t="shared" ca="1" si="97"/>
        <v>0.19799583288335995</v>
      </c>
      <c r="I524" s="103" t="e">
        <f t="shared" ca="1" si="98"/>
        <v>#REF!</v>
      </c>
      <c r="J524" s="103" t="e">
        <f t="shared" ca="1" si="99"/>
        <v>#REF!</v>
      </c>
      <c r="K524" s="103" t="e">
        <f t="shared" ca="1" si="100"/>
        <v>#REF!</v>
      </c>
      <c r="L524" s="103" t="e">
        <f t="shared" ca="1" si="101"/>
        <v>#REF!</v>
      </c>
      <c r="M524" s="103" t="e">
        <f t="shared" ca="1" si="102"/>
        <v>#REF!</v>
      </c>
      <c r="N524" s="104" t="e">
        <f t="shared" ca="1" si="103"/>
        <v>#REF!</v>
      </c>
    </row>
    <row r="525" spans="1:14">
      <c r="A525" s="95">
        <v>487</v>
      </c>
      <c r="B525" s="102" t="e">
        <f t="shared" ca="1" si="91"/>
        <v>#REF!</v>
      </c>
      <c r="C525" s="102" t="e">
        <f t="shared" ca="1" si="92"/>
        <v>#REF!</v>
      </c>
      <c r="D525" s="102" t="e">
        <f t="shared" ca="1" si="93"/>
        <v>#REF!</v>
      </c>
      <c r="E525" s="102" t="e">
        <f t="shared" ca="1" si="94"/>
        <v>#REF!</v>
      </c>
      <c r="F525" s="102" t="e">
        <f t="shared" ca="1" si="95"/>
        <v>#REF!</v>
      </c>
      <c r="G525" s="103">
        <f t="shared" ca="1" si="96"/>
        <v>0.45563783719554823</v>
      </c>
      <c r="H525" s="103">
        <f t="shared" ca="1" si="97"/>
        <v>0.20352067112022804</v>
      </c>
      <c r="I525" s="103" t="e">
        <f t="shared" ca="1" si="98"/>
        <v>#REF!</v>
      </c>
      <c r="J525" s="103" t="e">
        <f t="shared" ca="1" si="99"/>
        <v>#REF!</v>
      </c>
      <c r="K525" s="103" t="e">
        <f t="shared" ca="1" si="100"/>
        <v>#REF!</v>
      </c>
      <c r="L525" s="103" t="e">
        <f t="shared" ca="1" si="101"/>
        <v>#REF!</v>
      </c>
      <c r="M525" s="103" t="e">
        <f t="shared" ca="1" si="102"/>
        <v>#REF!</v>
      </c>
      <c r="N525" s="104" t="e">
        <f t="shared" ca="1" si="103"/>
        <v>#REF!</v>
      </c>
    </row>
    <row r="526" spans="1:14">
      <c r="A526" s="96">
        <v>488</v>
      </c>
      <c r="B526" s="102" t="e">
        <f t="shared" ca="1" si="91"/>
        <v>#REF!</v>
      </c>
      <c r="C526" s="102" t="e">
        <f t="shared" ca="1" si="92"/>
        <v>#REF!</v>
      </c>
      <c r="D526" s="102" t="e">
        <f t="shared" ca="1" si="93"/>
        <v>#REF!</v>
      </c>
      <c r="E526" s="102" t="e">
        <f t="shared" ca="1" si="94"/>
        <v>#REF!</v>
      </c>
      <c r="F526" s="102" t="e">
        <f t="shared" ca="1" si="95"/>
        <v>#REF!</v>
      </c>
      <c r="G526" s="103">
        <f t="shared" ca="1" si="96"/>
        <v>0.38913064812576109</v>
      </c>
      <c r="H526" s="103">
        <f t="shared" ca="1" si="97"/>
        <v>0.18852491928669152</v>
      </c>
      <c r="I526" s="103" t="e">
        <f t="shared" ca="1" si="98"/>
        <v>#REF!</v>
      </c>
      <c r="J526" s="103" t="e">
        <f t="shared" ca="1" si="99"/>
        <v>#REF!</v>
      </c>
      <c r="K526" s="103" t="e">
        <f t="shared" ca="1" si="100"/>
        <v>#REF!</v>
      </c>
      <c r="L526" s="103" t="e">
        <f t="shared" ca="1" si="101"/>
        <v>#REF!</v>
      </c>
      <c r="M526" s="103" t="e">
        <f t="shared" ca="1" si="102"/>
        <v>#REF!</v>
      </c>
      <c r="N526" s="104" t="e">
        <f t="shared" ca="1" si="103"/>
        <v>#REF!</v>
      </c>
    </row>
    <row r="527" spans="1:14">
      <c r="A527" s="95">
        <v>489</v>
      </c>
      <c r="B527" s="102" t="e">
        <f t="shared" ca="1" si="91"/>
        <v>#REF!</v>
      </c>
      <c r="C527" s="102" t="e">
        <f t="shared" ca="1" si="92"/>
        <v>#REF!</v>
      </c>
      <c r="D527" s="102" t="e">
        <f t="shared" ca="1" si="93"/>
        <v>#REF!</v>
      </c>
      <c r="E527" s="102" t="e">
        <f t="shared" ca="1" si="94"/>
        <v>#REF!</v>
      </c>
      <c r="F527" s="102" t="e">
        <f t="shared" ca="1" si="95"/>
        <v>#REF!</v>
      </c>
      <c r="G527" s="103">
        <f t="shared" ca="1" si="96"/>
        <v>0.41468303345488489</v>
      </c>
      <c r="H527" s="103">
        <f t="shared" ca="1" si="97"/>
        <v>0.20941864274158023</v>
      </c>
      <c r="I527" s="103" t="e">
        <f t="shared" ca="1" si="98"/>
        <v>#REF!</v>
      </c>
      <c r="J527" s="103" t="e">
        <f t="shared" ca="1" si="99"/>
        <v>#REF!</v>
      </c>
      <c r="K527" s="103" t="e">
        <f t="shared" ca="1" si="100"/>
        <v>#REF!</v>
      </c>
      <c r="L527" s="103" t="e">
        <f t="shared" ca="1" si="101"/>
        <v>#REF!</v>
      </c>
      <c r="M527" s="103" t="e">
        <f t="shared" ca="1" si="102"/>
        <v>#REF!</v>
      </c>
      <c r="N527" s="104" t="e">
        <f t="shared" ca="1" si="103"/>
        <v>#REF!</v>
      </c>
    </row>
    <row r="528" spans="1:14">
      <c r="A528" s="96">
        <v>490</v>
      </c>
      <c r="B528" s="102" t="e">
        <f t="shared" ca="1" si="91"/>
        <v>#REF!</v>
      </c>
      <c r="C528" s="102" t="e">
        <f t="shared" ca="1" si="92"/>
        <v>#REF!</v>
      </c>
      <c r="D528" s="102" t="e">
        <f t="shared" ca="1" si="93"/>
        <v>#REF!</v>
      </c>
      <c r="E528" s="102" t="e">
        <f t="shared" ca="1" si="94"/>
        <v>#REF!</v>
      </c>
      <c r="F528" s="102" t="e">
        <f t="shared" ca="1" si="95"/>
        <v>#REF!</v>
      </c>
      <c r="G528" s="103">
        <f t="shared" ca="1" si="96"/>
        <v>0.48051342094558747</v>
      </c>
      <c r="H528" s="103">
        <f t="shared" ca="1" si="97"/>
        <v>0.21395839458103294</v>
      </c>
      <c r="I528" s="103" t="e">
        <f t="shared" ca="1" si="98"/>
        <v>#REF!</v>
      </c>
      <c r="J528" s="103" t="e">
        <f t="shared" ca="1" si="99"/>
        <v>#REF!</v>
      </c>
      <c r="K528" s="103" t="e">
        <f t="shared" ca="1" si="100"/>
        <v>#REF!</v>
      </c>
      <c r="L528" s="103" t="e">
        <f t="shared" ca="1" si="101"/>
        <v>#REF!</v>
      </c>
      <c r="M528" s="103" t="e">
        <f t="shared" ca="1" si="102"/>
        <v>#REF!</v>
      </c>
      <c r="N528" s="104" t="e">
        <f t="shared" ca="1" si="103"/>
        <v>#REF!</v>
      </c>
    </row>
    <row r="529" spans="1:14">
      <c r="A529" s="95">
        <v>491</v>
      </c>
      <c r="B529" s="102" t="e">
        <f t="shared" ca="1" si="91"/>
        <v>#REF!</v>
      </c>
      <c r="C529" s="102" t="e">
        <f t="shared" ca="1" si="92"/>
        <v>#REF!</v>
      </c>
      <c r="D529" s="102" t="e">
        <f t="shared" ca="1" si="93"/>
        <v>#REF!</v>
      </c>
      <c r="E529" s="102" t="e">
        <f t="shared" ca="1" si="94"/>
        <v>#REF!</v>
      </c>
      <c r="F529" s="102" t="e">
        <f t="shared" ca="1" si="95"/>
        <v>#REF!</v>
      </c>
      <c r="G529" s="103">
        <f t="shared" ca="1" si="96"/>
        <v>0.41120646340364198</v>
      </c>
      <c r="H529" s="103">
        <f t="shared" ca="1" si="97"/>
        <v>0.20544250413835299</v>
      </c>
      <c r="I529" s="103" t="e">
        <f t="shared" ca="1" si="98"/>
        <v>#REF!</v>
      </c>
      <c r="J529" s="103" t="e">
        <f t="shared" ca="1" si="99"/>
        <v>#REF!</v>
      </c>
      <c r="K529" s="103" t="e">
        <f t="shared" ca="1" si="100"/>
        <v>#REF!</v>
      </c>
      <c r="L529" s="103" t="e">
        <f t="shared" ca="1" si="101"/>
        <v>#REF!</v>
      </c>
      <c r="M529" s="103" t="e">
        <f t="shared" ca="1" si="102"/>
        <v>#REF!</v>
      </c>
      <c r="N529" s="104" t="e">
        <f t="shared" ca="1" si="103"/>
        <v>#REF!</v>
      </c>
    </row>
    <row r="530" spans="1:14">
      <c r="A530" s="96">
        <v>492</v>
      </c>
      <c r="B530" s="102" t="e">
        <f t="shared" ca="1" si="91"/>
        <v>#REF!</v>
      </c>
      <c r="C530" s="102" t="e">
        <f t="shared" ca="1" si="92"/>
        <v>#REF!</v>
      </c>
      <c r="D530" s="102" t="e">
        <f t="shared" ca="1" si="93"/>
        <v>#REF!</v>
      </c>
      <c r="E530" s="102" t="e">
        <f t="shared" ca="1" si="94"/>
        <v>#REF!</v>
      </c>
      <c r="F530" s="102" t="e">
        <f t="shared" ca="1" si="95"/>
        <v>#REF!</v>
      </c>
      <c r="G530" s="103">
        <f t="shared" ca="1" si="96"/>
        <v>0.4870381549892403</v>
      </c>
      <c r="H530" s="103">
        <f t="shared" ca="1" si="97"/>
        <v>0.20700759542987915</v>
      </c>
      <c r="I530" s="103" t="e">
        <f t="shared" ca="1" si="98"/>
        <v>#REF!</v>
      </c>
      <c r="J530" s="103" t="e">
        <f t="shared" ca="1" si="99"/>
        <v>#REF!</v>
      </c>
      <c r="K530" s="103" t="e">
        <f t="shared" ca="1" si="100"/>
        <v>#REF!</v>
      </c>
      <c r="L530" s="103" t="e">
        <f t="shared" ca="1" si="101"/>
        <v>#REF!</v>
      </c>
      <c r="M530" s="103" t="e">
        <f t="shared" ca="1" si="102"/>
        <v>#REF!</v>
      </c>
      <c r="N530" s="104" t="e">
        <f t="shared" ca="1" si="103"/>
        <v>#REF!</v>
      </c>
    </row>
    <row r="531" spans="1:14">
      <c r="A531" s="95">
        <v>493</v>
      </c>
      <c r="B531" s="102" t="e">
        <f t="shared" ca="1" si="91"/>
        <v>#REF!</v>
      </c>
      <c r="C531" s="102" t="e">
        <f t="shared" ca="1" si="92"/>
        <v>#REF!</v>
      </c>
      <c r="D531" s="102" t="e">
        <f t="shared" ca="1" si="93"/>
        <v>#REF!</v>
      </c>
      <c r="E531" s="102" t="e">
        <f t="shared" ca="1" si="94"/>
        <v>#REF!</v>
      </c>
      <c r="F531" s="102" t="e">
        <f t="shared" ca="1" si="95"/>
        <v>#REF!</v>
      </c>
      <c r="G531" s="103">
        <f t="shared" ca="1" si="96"/>
        <v>0.43873897671256507</v>
      </c>
      <c r="H531" s="103">
        <f t="shared" ca="1" si="97"/>
        <v>0.19679835958227782</v>
      </c>
      <c r="I531" s="103" t="e">
        <f t="shared" ca="1" si="98"/>
        <v>#REF!</v>
      </c>
      <c r="J531" s="103" t="e">
        <f t="shared" ca="1" si="99"/>
        <v>#REF!</v>
      </c>
      <c r="K531" s="103" t="e">
        <f t="shared" ca="1" si="100"/>
        <v>#REF!</v>
      </c>
      <c r="L531" s="103" t="e">
        <f t="shared" ca="1" si="101"/>
        <v>#REF!</v>
      </c>
      <c r="M531" s="103" t="e">
        <f t="shared" ca="1" si="102"/>
        <v>#REF!</v>
      </c>
      <c r="N531" s="104" t="e">
        <f t="shared" ca="1" si="103"/>
        <v>#REF!</v>
      </c>
    </row>
    <row r="532" spans="1:14">
      <c r="A532" s="96">
        <v>494</v>
      </c>
      <c r="B532" s="102" t="e">
        <f t="shared" ca="1" si="91"/>
        <v>#REF!</v>
      </c>
      <c r="C532" s="102" t="e">
        <f t="shared" ca="1" si="92"/>
        <v>#REF!</v>
      </c>
      <c r="D532" s="102" t="e">
        <f t="shared" ca="1" si="93"/>
        <v>#REF!</v>
      </c>
      <c r="E532" s="102" t="e">
        <f t="shared" ca="1" si="94"/>
        <v>#REF!</v>
      </c>
      <c r="F532" s="102" t="e">
        <f t="shared" ca="1" si="95"/>
        <v>#REF!</v>
      </c>
      <c r="G532" s="103">
        <f t="shared" ca="1" si="96"/>
        <v>0.41599741209856284</v>
      </c>
      <c r="H532" s="103">
        <f t="shared" ca="1" si="97"/>
        <v>0.2085172135615124</v>
      </c>
      <c r="I532" s="103" t="e">
        <f t="shared" ca="1" si="98"/>
        <v>#REF!</v>
      </c>
      <c r="J532" s="103" t="e">
        <f t="shared" ca="1" si="99"/>
        <v>#REF!</v>
      </c>
      <c r="K532" s="103" t="e">
        <f t="shared" ca="1" si="100"/>
        <v>#REF!</v>
      </c>
      <c r="L532" s="103" t="e">
        <f t="shared" ca="1" si="101"/>
        <v>#REF!</v>
      </c>
      <c r="M532" s="103" t="e">
        <f t="shared" ca="1" si="102"/>
        <v>#REF!</v>
      </c>
      <c r="N532" s="104" t="e">
        <f t="shared" ca="1" si="103"/>
        <v>#REF!</v>
      </c>
    </row>
    <row r="533" spans="1:14">
      <c r="A533" s="95">
        <v>495</v>
      </c>
      <c r="B533" s="102" t="e">
        <f t="shared" ca="1" si="91"/>
        <v>#REF!</v>
      </c>
      <c r="C533" s="102" t="e">
        <f t="shared" ca="1" si="92"/>
        <v>#REF!</v>
      </c>
      <c r="D533" s="102" t="e">
        <f t="shared" ca="1" si="93"/>
        <v>#REF!</v>
      </c>
      <c r="E533" s="102" t="e">
        <f t="shared" ca="1" si="94"/>
        <v>#REF!</v>
      </c>
      <c r="F533" s="102" t="e">
        <f t="shared" ca="1" si="95"/>
        <v>#REF!</v>
      </c>
      <c r="G533" s="103">
        <f t="shared" ca="1" si="96"/>
        <v>0.41480967406177671</v>
      </c>
      <c r="H533" s="103">
        <f t="shared" ca="1" si="97"/>
        <v>0.1748476985103164</v>
      </c>
      <c r="I533" s="103" t="e">
        <f t="shared" ca="1" si="98"/>
        <v>#REF!</v>
      </c>
      <c r="J533" s="103" t="e">
        <f t="shared" ca="1" si="99"/>
        <v>#REF!</v>
      </c>
      <c r="K533" s="103" t="e">
        <f t="shared" ca="1" si="100"/>
        <v>#REF!</v>
      </c>
      <c r="L533" s="103" t="e">
        <f t="shared" ca="1" si="101"/>
        <v>#REF!</v>
      </c>
      <c r="M533" s="103" t="e">
        <f t="shared" ca="1" si="102"/>
        <v>#REF!</v>
      </c>
      <c r="N533" s="104" t="e">
        <f t="shared" ca="1" si="103"/>
        <v>#REF!</v>
      </c>
    </row>
    <row r="534" spans="1:14">
      <c r="A534" s="96">
        <v>496</v>
      </c>
      <c r="B534" s="102" t="e">
        <f t="shared" ca="1" si="91"/>
        <v>#REF!</v>
      </c>
      <c r="C534" s="102" t="e">
        <f t="shared" ca="1" si="92"/>
        <v>#REF!</v>
      </c>
      <c r="D534" s="102" t="e">
        <f t="shared" ca="1" si="93"/>
        <v>#REF!</v>
      </c>
      <c r="E534" s="102" t="e">
        <f t="shared" ca="1" si="94"/>
        <v>#REF!</v>
      </c>
      <c r="F534" s="102" t="e">
        <f t="shared" ca="1" si="95"/>
        <v>#REF!</v>
      </c>
      <c r="G534" s="103">
        <f t="shared" ca="1" si="96"/>
        <v>0.44001177020363014</v>
      </c>
      <c r="H534" s="103">
        <f t="shared" ca="1" si="97"/>
        <v>0.18957057871532881</v>
      </c>
      <c r="I534" s="103" t="e">
        <f t="shared" ca="1" si="98"/>
        <v>#REF!</v>
      </c>
      <c r="J534" s="103" t="e">
        <f t="shared" ca="1" si="99"/>
        <v>#REF!</v>
      </c>
      <c r="K534" s="103" t="e">
        <f t="shared" ca="1" si="100"/>
        <v>#REF!</v>
      </c>
      <c r="L534" s="103" t="e">
        <f t="shared" ca="1" si="101"/>
        <v>#REF!</v>
      </c>
      <c r="M534" s="103" t="e">
        <f t="shared" ca="1" si="102"/>
        <v>#REF!</v>
      </c>
      <c r="N534" s="104" t="e">
        <f t="shared" ca="1" si="103"/>
        <v>#REF!</v>
      </c>
    </row>
    <row r="535" spans="1:14">
      <c r="A535" s="95">
        <v>497</v>
      </c>
      <c r="B535" s="102" t="e">
        <f t="shared" ca="1" si="91"/>
        <v>#REF!</v>
      </c>
      <c r="C535" s="102" t="e">
        <f t="shared" ca="1" si="92"/>
        <v>#REF!</v>
      </c>
      <c r="D535" s="102" t="e">
        <f t="shared" ca="1" si="93"/>
        <v>#REF!</v>
      </c>
      <c r="E535" s="102" t="e">
        <f t="shared" ca="1" si="94"/>
        <v>#REF!</v>
      </c>
      <c r="F535" s="102" t="e">
        <f t="shared" ca="1" si="95"/>
        <v>#REF!</v>
      </c>
      <c r="G535" s="103">
        <f t="shared" ca="1" si="96"/>
        <v>0.41595721358936399</v>
      </c>
      <c r="H535" s="103">
        <f t="shared" ca="1" si="97"/>
        <v>0.1852730445253741</v>
      </c>
      <c r="I535" s="103" t="e">
        <f t="shared" ca="1" si="98"/>
        <v>#REF!</v>
      </c>
      <c r="J535" s="103" t="e">
        <f t="shared" ca="1" si="99"/>
        <v>#REF!</v>
      </c>
      <c r="K535" s="103" t="e">
        <f t="shared" ca="1" si="100"/>
        <v>#REF!</v>
      </c>
      <c r="L535" s="103" t="e">
        <f t="shared" ca="1" si="101"/>
        <v>#REF!</v>
      </c>
      <c r="M535" s="103" t="e">
        <f t="shared" ca="1" si="102"/>
        <v>#REF!</v>
      </c>
      <c r="N535" s="104" t="e">
        <f t="shared" ca="1" si="103"/>
        <v>#REF!</v>
      </c>
    </row>
    <row r="536" spans="1:14">
      <c r="A536" s="96">
        <v>498</v>
      </c>
      <c r="B536" s="102" t="e">
        <f t="shared" ca="1" si="91"/>
        <v>#REF!</v>
      </c>
      <c r="C536" s="102" t="e">
        <f t="shared" ca="1" si="92"/>
        <v>#REF!</v>
      </c>
      <c r="D536" s="102" t="e">
        <f t="shared" ca="1" si="93"/>
        <v>#REF!</v>
      </c>
      <c r="E536" s="102" t="e">
        <f t="shared" ca="1" si="94"/>
        <v>#REF!</v>
      </c>
      <c r="F536" s="102" t="e">
        <f t="shared" ca="1" si="95"/>
        <v>#REF!</v>
      </c>
      <c r="G536" s="103">
        <f t="shared" ca="1" si="96"/>
        <v>0.46852699489089022</v>
      </c>
      <c r="H536" s="103">
        <f t="shared" ca="1" si="97"/>
        <v>0.20459797538005275</v>
      </c>
      <c r="I536" s="103" t="e">
        <f t="shared" ca="1" si="98"/>
        <v>#REF!</v>
      </c>
      <c r="J536" s="103" t="e">
        <f t="shared" ca="1" si="99"/>
        <v>#REF!</v>
      </c>
      <c r="K536" s="103" t="e">
        <f t="shared" ca="1" si="100"/>
        <v>#REF!</v>
      </c>
      <c r="L536" s="103" t="e">
        <f t="shared" ca="1" si="101"/>
        <v>#REF!</v>
      </c>
      <c r="M536" s="103" t="e">
        <f t="shared" ca="1" si="102"/>
        <v>#REF!</v>
      </c>
      <c r="N536" s="104" t="e">
        <f t="shared" ca="1" si="103"/>
        <v>#REF!</v>
      </c>
    </row>
    <row r="537" spans="1:14">
      <c r="A537" s="95">
        <v>499</v>
      </c>
      <c r="B537" s="102" t="e">
        <f t="shared" ca="1" si="91"/>
        <v>#REF!</v>
      </c>
      <c r="C537" s="102" t="e">
        <f t="shared" ca="1" si="92"/>
        <v>#REF!</v>
      </c>
      <c r="D537" s="102" t="e">
        <f t="shared" ca="1" si="93"/>
        <v>#REF!</v>
      </c>
      <c r="E537" s="102" t="e">
        <f t="shared" ca="1" si="94"/>
        <v>#REF!</v>
      </c>
      <c r="F537" s="102" t="e">
        <f t="shared" ca="1" si="95"/>
        <v>#REF!</v>
      </c>
      <c r="G537" s="103">
        <f t="shared" ca="1" si="96"/>
        <v>0.38732784209881588</v>
      </c>
      <c r="H537" s="103">
        <f t="shared" ca="1" si="97"/>
        <v>0.19169924126861312</v>
      </c>
      <c r="I537" s="103" t="e">
        <f t="shared" ca="1" si="98"/>
        <v>#REF!</v>
      </c>
      <c r="J537" s="103" t="e">
        <f t="shared" ca="1" si="99"/>
        <v>#REF!</v>
      </c>
      <c r="K537" s="103" t="e">
        <f t="shared" ca="1" si="100"/>
        <v>#REF!</v>
      </c>
      <c r="L537" s="103" t="e">
        <f t="shared" ca="1" si="101"/>
        <v>#REF!</v>
      </c>
      <c r="M537" s="103" t="e">
        <f t="shared" ca="1" si="102"/>
        <v>#REF!</v>
      </c>
      <c r="N537" s="104" t="e">
        <f t="shared" ca="1" si="103"/>
        <v>#REF!</v>
      </c>
    </row>
    <row r="538" spans="1:14">
      <c r="A538" s="96">
        <v>500</v>
      </c>
      <c r="B538" s="102" t="e">
        <f t="shared" ca="1" si="91"/>
        <v>#REF!</v>
      </c>
      <c r="C538" s="102" t="e">
        <f t="shared" ca="1" si="92"/>
        <v>#REF!</v>
      </c>
      <c r="D538" s="102" t="e">
        <f t="shared" ca="1" si="93"/>
        <v>#REF!</v>
      </c>
      <c r="E538" s="102" t="e">
        <f t="shared" ca="1" si="94"/>
        <v>#REF!</v>
      </c>
      <c r="F538" s="102" t="e">
        <f t="shared" ca="1" si="95"/>
        <v>#REF!</v>
      </c>
      <c r="G538" s="103">
        <f t="shared" ca="1" si="96"/>
        <v>0.46675430633901893</v>
      </c>
      <c r="H538" s="103">
        <f t="shared" ca="1" si="97"/>
        <v>0.22755984124294484</v>
      </c>
      <c r="I538" s="103" t="e">
        <f t="shared" ca="1" si="98"/>
        <v>#REF!</v>
      </c>
      <c r="J538" s="103" t="e">
        <f t="shared" ca="1" si="99"/>
        <v>#REF!</v>
      </c>
      <c r="K538" s="103" t="e">
        <f t="shared" ca="1" si="100"/>
        <v>#REF!</v>
      </c>
      <c r="L538" s="103" t="e">
        <f t="shared" ca="1" si="101"/>
        <v>#REF!</v>
      </c>
      <c r="M538" s="103" t="e">
        <f t="shared" ca="1" si="102"/>
        <v>#REF!</v>
      </c>
      <c r="N538" s="104" t="e">
        <f t="shared" ca="1" si="103"/>
        <v>#REF!</v>
      </c>
    </row>
    <row r="539" spans="1:14">
      <c r="A539" s="95">
        <v>501</v>
      </c>
      <c r="B539" s="102" t="e">
        <f t="shared" ca="1" si="91"/>
        <v>#REF!</v>
      </c>
      <c r="C539" s="102" t="e">
        <f t="shared" ca="1" si="92"/>
        <v>#REF!</v>
      </c>
      <c r="D539" s="102" t="e">
        <f t="shared" ca="1" si="93"/>
        <v>#REF!</v>
      </c>
      <c r="E539" s="102" t="e">
        <f t="shared" ca="1" si="94"/>
        <v>#REF!</v>
      </c>
      <c r="F539" s="102" t="e">
        <f t="shared" ca="1" si="95"/>
        <v>#REF!</v>
      </c>
      <c r="G539" s="103">
        <f t="shared" ca="1" si="96"/>
        <v>0.48316258282699975</v>
      </c>
      <c r="H539" s="103">
        <f t="shared" ca="1" si="97"/>
        <v>0.20221064464536756</v>
      </c>
      <c r="I539" s="103" t="e">
        <f t="shared" ca="1" si="98"/>
        <v>#REF!</v>
      </c>
      <c r="J539" s="103" t="e">
        <f t="shared" ca="1" si="99"/>
        <v>#REF!</v>
      </c>
      <c r="K539" s="103" t="e">
        <f t="shared" ca="1" si="100"/>
        <v>#REF!</v>
      </c>
      <c r="L539" s="103" t="e">
        <f t="shared" ca="1" si="101"/>
        <v>#REF!</v>
      </c>
      <c r="M539" s="103" t="e">
        <f t="shared" ca="1" si="102"/>
        <v>#REF!</v>
      </c>
      <c r="N539" s="104" t="e">
        <f t="shared" ca="1" si="103"/>
        <v>#REF!</v>
      </c>
    </row>
    <row r="540" spans="1:14">
      <c r="A540" s="96">
        <v>502</v>
      </c>
      <c r="B540" s="102" t="e">
        <f t="shared" ca="1" si="91"/>
        <v>#REF!</v>
      </c>
      <c r="C540" s="102" t="e">
        <f t="shared" ca="1" si="92"/>
        <v>#REF!</v>
      </c>
      <c r="D540" s="102" t="e">
        <f t="shared" ca="1" si="93"/>
        <v>#REF!</v>
      </c>
      <c r="E540" s="102" t="e">
        <f t="shared" ca="1" si="94"/>
        <v>#REF!</v>
      </c>
      <c r="F540" s="102" t="e">
        <f t="shared" ca="1" si="95"/>
        <v>#REF!</v>
      </c>
      <c r="G540" s="103">
        <f t="shared" ca="1" si="96"/>
        <v>0.45996179728340536</v>
      </c>
      <c r="H540" s="103">
        <f t="shared" ca="1" si="97"/>
        <v>0.19596631383081389</v>
      </c>
      <c r="I540" s="103" t="e">
        <f t="shared" ca="1" si="98"/>
        <v>#REF!</v>
      </c>
      <c r="J540" s="103" t="e">
        <f t="shared" ca="1" si="99"/>
        <v>#REF!</v>
      </c>
      <c r="K540" s="103" t="e">
        <f t="shared" ca="1" si="100"/>
        <v>#REF!</v>
      </c>
      <c r="L540" s="103" t="e">
        <f t="shared" ca="1" si="101"/>
        <v>#REF!</v>
      </c>
      <c r="M540" s="103" t="e">
        <f t="shared" ca="1" si="102"/>
        <v>#REF!</v>
      </c>
      <c r="N540" s="104" t="e">
        <f t="shared" ca="1" si="103"/>
        <v>#REF!</v>
      </c>
    </row>
    <row r="541" spans="1:14">
      <c r="A541" s="95">
        <v>503</v>
      </c>
      <c r="B541" s="102" t="e">
        <f t="shared" ca="1" si="91"/>
        <v>#REF!</v>
      </c>
      <c r="C541" s="102" t="e">
        <f t="shared" ca="1" si="92"/>
        <v>#REF!</v>
      </c>
      <c r="D541" s="102" t="e">
        <f t="shared" ca="1" si="93"/>
        <v>#REF!</v>
      </c>
      <c r="E541" s="102" t="e">
        <f t="shared" ca="1" si="94"/>
        <v>#REF!</v>
      </c>
      <c r="F541" s="102" t="e">
        <f t="shared" ca="1" si="95"/>
        <v>#REF!</v>
      </c>
      <c r="G541" s="103">
        <f t="shared" ca="1" si="96"/>
        <v>0.45431083702736463</v>
      </c>
      <c r="H541" s="103">
        <f t="shared" ca="1" si="97"/>
        <v>0.19945691054555889</v>
      </c>
      <c r="I541" s="103" t="e">
        <f t="shared" ca="1" si="98"/>
        <v>#REF!</v>
      </c>
      <c r="J541" s="103" t="e">
        <f t="shared" ca="1" si="99"/>
        <v>#REF!</v>
      </c>
      <c r="K541" s="103" t="e">
        <f t="shared" ca="1" si="100"/>
        <v>#REF!</v>
      </c>
      <c r="L541" s="103" t="e">
        <f t="shared" ca="1" si="101"/>
        <v>#REF!</v>
      </c>
      <c r="M541" s="103" t="e">
        <f t="shared" ca="1" si="102"/>
        <v>#REF!</v>
      </c>
      <c r="N541" s="104" t="e">
        <f t="shared" ca="1" si="103"/>
        <v>#REF!</v>
      </c>
    </row>
    <row r="542" spans="1:14">
      <c r="A542" s="96">
        <v>504</v>
      </c>
      <c r="B542" s="102" t="e">
        <f t="shared" ca="1" si="91"/>
        <v>#REF!</v>
      </c>
      <c r="C542" s="102" t="e">
        <f t="shared" ca="1" si="92"/>
        <v>#REF!</v>
      </c>
      <c r="D542" s="102" t="e">
        <f t="shared" ca="1" si="93"/>
        <v>#REF!</v>
      </c>
      <c r="E542" s="102" t="e">
        <f t="shared" ca="1" si="94"/>
        <v>#REF!</v>
      </c>
      <c r="F542" s="102" t="e">
        <f t="shared" ca="1" si="95"/>
        <v>#REF!</v>
      </c>
      <c r="G542" s="103">
        <f t="shared" ca="1" si="96"/>
        <v>0.44415247604937486</v>
      </c>
      <c r="H542" s="103">
        <f t="shared" ca="1" si="97"/>
        <v>0.19368185603865581</v>
      </c>
      <c r="I542" s="103" t="e">
        <f t="shared" ca="1" si="98"/>
        <v>#REF!</v>
      </c>
      <c r="J542" s="103" t="e">
        <f t="shared" ca="1" si="99"/>
        <v>#REF!</v>
      </c>
      <c r="K542" s="103" t="e">
        <f t="shared" ca="1" si="100"/>
        <v>#REF!</v>
      </c>
      <c r="L542" s="103" t="e">
        <f t="shared" ca="1" si="101"/>
        <v>#REF!</v>
      </c>
      <c r="M542" s="103" t="e">
        <f t="shared" ca="1" si="102"/>
        <v>#REF!</v>
      </c>
      <c r="N542" s="104" t="e">
        <f t="shared" ca="1" si="103"/>
        <v>#REF!</v>
      </c>
    </row>
    <row r="543" spans="1:14">
      <c r="A543" s="95">
        <v>505</v>
      </c>
      <c r="B543" s="102" t="e">
        <f t="shared" ca="1" si="91"/>
        <v>#REF!</v>
      </c>
      <c r="C543" s="102" t="e">
        <f t="shared" ca="1" si="92"/>
        <v>#REF!</v>
      </c>
      <c r="D543" s="102" t="e">
        <f t="shared" ca="1" si="93"/>
        <v>#REF!</v>
      </c>
      <c r="E543" s="102" t="e">
        <f t="shared" ca="1" si="94"/>
        <v>#REF!</v>
      </c>
      <c r="F543" s="102" t="e">
        <f t="shared" ca="1" si="95"/>
        <v>#REF!</v>
      </c>
      <c r="G543" s="103">
        <f t="shared" ca="1" si="96"/>
        <v>0.43685680886541739</v>
      </c>
      <c r="H543" s="103">
        <f t="shared" ca="1" si="97"/>
        <v>0.20318666633189245</v>
      </c>
      <c r="I543" s="103" t="e">
        <f t="shared" ca="1" si="98"/>
        <v>#REF!</v>
      </c>
      <c r="J543" s="103" t="e">
        <f t="shared" ca="1" si="99"/>
        <v>#REF!</v>
      </c>
      <c r="K543" s="103" t="e">
        <f t="shared" ca="1" si="100"/>
        <v>#REF!</v>
      </c>
      <c r="L543" s="103" t="e">
        <f t="shared" ca="1" si="101"/>
        <v>#REF!</v>
      </c>
      <c r="M543" s="103" t="e">
        <f t="shared" ca="1" si="102"/>
        <v>#REF!</v>
      </c>
      <c r="N543" s="104" t="e">
        <f t="shared" ca="1" si="103"/>
        <v>#REF!</v>
      </c>
    </row>
    <row r="544" spans="1:14">
      <c r="A544" s="96">
        <v>506</v>
      </c>
      <c r="B544" s="102" t="e">
        <f t="shared" ca="1" si="91"/>
        <v>#REF!</v>
      </c>
      <c r="C544" s="102" t="e">
        <f t="shared" ca="1" si="92"/>
        <v>#REF!</v>
      </c>
      <c r="D544" s="102" t="e">
        <f t="shared" ca="1" si="93"/>
        <v>#REF!</v>
      </c>
      <c r="E544" s="102" t="e">
        <f t="shared" ca="1" si="94"/>
        <v>#REF!</v>
      </c>
      <c r="F544" s="102" t="e">
        <f t="shared" ca="1" si="95"/>
        <v>#REF!</v>
      </c>
      <c r="G544" s="103">
        <f t="shared" ca="1" si="96"/>
        <v>0.47143757950511966</v>
      </c>
      <c r="H544" s="103">
        <f t="shared" ca="1" si="97"/>
        <v>0.20705040043609263</v>
      </c>
      <c r="I544" s="103" t="e">
        <f t="shared" ca="1" si="98"/>
        <v>#REF!</v>
      </c>
      <c r="J544" s="103" t="e">
        <f t="shared" ca="1" si="99"/>
        <v>#REF!</v>
      </c>
      <c r="K544" s="103" t="e">
        <f t="shared" ca="1" si="100"/>
        <v>#REF!</v>
      </c>
      <c r="L544" s="103" t="e">
        <f t="shared" ca="1" si="101"/>
        <v>#REF!</v>
      </c>
      <c r="M544" s="103" t="e">
        <f t="shared" ca="1" si="102"/>
        <v>#REF!</v>
      </c>
      <c r="N544" s="104" t="e">
        <f t="shared" ca="1" si="103"/>
        <v>#REF!</v>
      </c>
    </row>
    <row r="545" spans="1:14">
      <c r="A545" s="95">
        <v>507</v>
      </c>
      <c r="B545" s="102" t="e">
        <f t="shared" ca="1" si="91"/>
        <v>#REF!</v>
      </c>
      <c r="C545" s="102" t="e">
        <f t="shared" ca="1" si="92"/>
        <v>#REF!</v>
      </c>
      <c r="D545" s="102" t="e">
        <f t="shared" ca="1" si="93"/>
        <v>#REF!</v>
      </c>
      <c r="E545" s="102" t="e">
        <f t="shared" ca="1" si="94"/>
        <v>#REF!</v>
      </c>
      <c r="F545" s="102" t="e">
        <f t="shared" ca="1" si="95"/>
        <v>#REF!</v>
      </c>
      <c r="G545" s="103">
        <f t="shared" ca="1" si="96"/>
        <v>0.40328488363967818</v>
      </c>
      <c r="H545" s="103">
        <f t="shared" ca="1" si="97"/>
        <v>0.23488327020018068</v>
      </c>
      <c r="I545" s="103" t="e">
        <f t="shared" ca="1" si="98"/>
        <v>#REF!</v>
      </c>
      <c r="J545" s="103" t="e">
        <f t="shared" ca="1" si="99"/>
        <v>#REF!</v>
      </c>
      <c r="K545" s="103" t="e">
        <f t="shared" ca="1" si="100"/>
        <v>#REF!</v>
      </c>
      <c r="L545" s="103" t="e">
        <f t="shared" ca="1" si="101"/>
        <v>#REF!</v>
      </c>
      <c r="M545" s="103" t="e">
        <f t="shared" ca="1" si="102"/>
        <v>#REF!</v>
      </c>
      <c r="N545" s="104" t="e">
        <f t="shared" ca="1" si="103"/>
        <v>#REF!</v>
      </c>
    </row>
    <row r="546" spans="1:14">
      <c r="A546" s="96">
        <v>508</v>
      </c>
      <c r="B546" s="102" t="e">
        <f t="shared" ca="1" si="91"/>
        <v>#REF!</v>
      </c>
      <c r="C546" s="102" t="e">
        <f t="shared" ca="1" si="92"/>
        <v>#REF!</v>
      </c>
      <c r="D546" s="102" t="e">
        <f t="shared" ca="1" si="93"/>
        <v>#REF!</v>
      </c>
      <c r="E546" s="102" t="e">
        <f t="shared" ca="1" si="94"/>
        <v>#REF!</v>
      </c>
      <c r="F546" s="102" t="e">
        <f t="shared" ca="1" si="95"/>
        <v>#REF!</v>
      </c>
      <c r="G546" s="103">
        <f t="shared" ca="1" si="96"/>
        <v>0.44120015848886146</v>
      </c>
      <c r="H546" s="103">
        <f t="shared" ca="1" si="97"/>
        <v>0.19726384290789553</v>
      </c>
      <c r="I546" s="103" t="e">
        <f t="shared" ca="1" si="98"/>
        <v>#REF!</v>
      </c>
      <c r="J546" s="103" t="e">
        <f t="shared" ca="1" si="99"/>
        <v>#REF!</v>
      </c>
      <c r="K546" s="103" t="e">
        <f t="shared" ca="1" si="100"/>
        <v>#REF!</v>
      </c>
      <c r="L546" s="103" t="e">
        <f t="shared" ca="1" si="101"/>
        <v>#REF!</v>
      </c>
      <c r="M546" s="103" t="e">
        <f t="shared" ca="1" si="102"/>
        <v>#REF!</v>
      </c>
      <c r="N546" s="104" t="e">
        <f t="shared" ca="1" si="103"/>
        <v>#REF!</v>
      </c>
    </row>
    <row r="547" spans="1:14">
      <c r="A547" s="95">
        <v>509</v>
      </c>
      <c r="B547" s="102" t="e">
        <f t="shared" ca="1" si="91"/>
        <v>#REF!</v>
      </c>
      <c r="C547" s="102" t="e">
        <f t="shared" ca="1" si="92"/>
        <v>#REF!</v>
      </c>
      <c r="D547" s="102" t="e">
        <f t="shared" ca="1" si="93"/>
        <v>#REF!</v>
      </c>
      <c r="E547" s="102" t="e">
        <f t="shared" ca="1" si="94"/>
        <v>#REF!</v>
      </c>
      <c r="F547" s="102" t="e">
        <f t="shared" ca="1" si="95"/>
        <v>#REF!</v>
      </c>
      <c r="G547" s="103">
        <f t="shared" ca="1" si="96"/>
        <v>0.43182159901197986</v>
      </c>
      <c r="H547" s="103">
        <f t="shared" ca="1" si="97"/>
        <v>0.20243311719676352</v>
      </c>
      <c r="I547" s="103" t="e">
        <f t="shared" ca="1" si="98"/>
        <v>#REF!</v>
      </c>
      <c r="J547" s="103" t="e">
        <f t="shared" ca="1" si="99"/>
        <v>#REF!</v>
      </c>
      <c r="K547" s="103" t="e">
        <f t="shared" ca="1" si="100"/>
        <v>#REF!</v>
      </c>
      <c r="L547" s="103" t="e">
        <f t="shared" ca="1" si="101"/>
        <v>#REF!</v>
      </c>
      <c r="M547" s="103" t="e">
        <f t="shared" ca="1" si="102"/>
        <v>#REF!</v>
      </c>
      <c r="N547" s="104" t="e">
        <f t="shared" ca="1" si="103"/>
        <v>#REF!</v>
      </c>
    </row>
    <row r="548" spans="1:14">
      <c r="A548" s="96">
        <v>510</v>
      </c>
      <c r="B548" s="102" t="e">
        <f t="shared" ca="1" si="91"/>
        <v>#REF!</v>
      </c>
      <c r="C548" s="102" t="e">
        <f t="shared" ca="1" si="92"/>
        <v>#REF!</v>
      </c>
      <c r="D548" s="102" t="e">
        <f t="shared" ca="1" si="93"/>
        <v>#REF!</v>
      </c>
      <c r="E548" s="102" t="e">
        <f t="shared" ca="1" si="94"/>
        <v>#REF!</v>
      </c>
      <c r="F548" s="102" t="e">
        <f t="shared" ca="1" si="95"/>
        <v>#REF!</v>
      </c>
      <c r="G548" s="103">
        <f t="shared" ca="1" si="96"/>
        <v>0.43474566357308864</v>
      </c>
      <c r="H548" s="103">
        <f t="shared" ca="1" si="97"/>
        <v>0.19755643736268338</v>
      </c>
      <c r="I548" s="103" t="e">
        <f t="shared" ca="1" si="98"/>
        <v>#REF!</v>
      </c>
      <c r="J548" s="103" t="e">
        <f t="shared" ca="1" si="99"/>
        <v>#REF!</v>
      </c>
      <c r="K548" s="103" t="e">
        <f t="shared" ca="1" si="100"/>
        <v>#REF!</v>
      </c>
      <c r="L548" s="103" t="e">
        <f t="shared" ca="1" si="101"/>
        <v>#REF!</v>
      </c>
      <c r="M548" s="103" t="e">
        <f t="shared" ca="1" si="102"/>
        <v>#REF!</v>
      </c>
      <c r="N548" s="104" t="e">
        <f t="shared" ca="1" si="103"/>
        <v>#REF!</v>
      </c>
    </row>
    <row r="549" spans="1:14">
      <c r="A549" s="95">
        <v>511</v>
      </c>
      <c r="B549" s="102" t="e">
        <f t="shared" ca="1" si="91"/>
        <v>#REF!</v>
      </c>
      <c r="C549" s="102" t="e">
        <f t="shared" ca="1" si="92"/>
        <v>#REF!</v>
      </c>
      <c r="D549" s="102" t="e">
        <f t="shared" ca="1" si="93"/>
        <v>#REF!</v>
      </c>
      <c r="E549" s="102" t="e">
        <f t="shared" ca="1" si="94"/>
        <v>#REF!</v>
      </c>
      <c r="F549" s="102" t="e">
        <f t="shared" ca="1" si="95"/>
        <v>#REF!</v>
      </c>
      <c r="G549" s="103">
        <f t="shared" ca="1" si="96"/>
        <v>0.42041487180897463</v>
      </c>
      <c r="H549" s="103">
        <f t="shared" ca="1" si="97"/>
        <v>0.19862449200837695</v>
      </c>
      <c r="I549" s="103" t="e">
        <f t="shared" ca="1" si="98"/>
        <v>#REF!</v>
      </c>
      <c r="J549" s="103" t="e">
        <f t="shared" ca="1" si="99"/>
        <v>#REF!</v>
      </c>
      <c r="K549" s="103" t="e">
        <f t="shared" ca="1" si="100"/>
        <v>#REF!</v>
      </c>
      <c r="L549" s="103" t="e">
        <f t="shared" ca="1" si="101"/>
        <v>#REF!</v>
      </c>
      <c r="M549" s="103" t="e">
        <f t="shared" ca="1" si="102"/>
        <v>#REF!</v>
      </c>
      <c r="N549" s="104" t="e">
        <f t="shared" ca="1" si="103"/>
        <v>#REF!</v>
      </c>
    </row>
    <row r="550" spans="1:14">
      <c r="A550" s="96">
        <v>512</v>
      </c>
      <c r="B550" s="102" t="e">
        <f t="shared" ca="1" si="91"/>
        <v>#REF!</v>
      </c>
      <c r="C550" s="102" t="e">
        <f t="shared" ca="1" si="92"/>
        <v>#REF!</v>
      </c>
      <c r="D550" s="102" t="e">
        <f t="shared" ca="1" si="93"/>
        <v>#REF!</v>
      </c>
      <c r="E550" s="102" t="e">
        <f t="shared" ca="1" si="94"/>
        <v>#REF!</v>
      </c>
      <c r="F550" s="102" t="e">
        <f t="shared" ca="1" si="95"/>
        <v>#REF!</v>
      </c>
      <c r="G550" s="103">
        <f t="shared" ca="1" si="96"/>
        <v>0.45961784243640846</v>
      </c>
      <c r="H550" s="103">
        <f t="shared" ca="1" si="97"/>
        <v>0.20667554118344136</v>
      </c>
      <c r="I550" s="103" t="e">
        <f t="shared" ca="1" si="98"/>
        <v>#REF!</v>
      </c>
      <c r="J550" s="103" t="e">
        <f t="shared" ca="1" si="99"/>
        <v>#REF!</v>
      </c>
      <c r="K550" s="103" t="e">
        <f t="shared" ca="1" si="100"/>
        <v>#REF!</v>
      </c>
      <c r="L550" s="103" t="e">
        <f t="shared" ca="1" si="101"/>
        <v>#REF!</v>
      </c>
      <c r="M550" s="103" t="e">
        <f t="shared" ca="1" si="102"/>
        <v>#REF!</v>
      </c>
      <c r="N550" s="104" t="e">
        <f t="shared" ca="1" si="103"/>
        <v>#REF!</v>
      </c>
    </row>
    <row r="551" spans="1:14">
      <c r="A551" s="95">
        <v>513</v>
      </c>
      <c r="B551" s="102" t="e">
        <f t="shared" ca="1" si="91"/>
        <v>#REF!</v>
      </c>
      <c r="C551" s="102" t="e">
        <f t="shared" ca="1" si="92"/>
        <v>#REF!</v>
      </c>
      <c r="D551" s="102" t="e">
        <f t="shared" ca="1" si="93"/>
        <v>#REF!</v>
      </c>
      <c r="E551" s="102" t="e">
        <f t="shared" ca="1" si="94"/>
        <v>#REF!</v>
      </c>
      <c r="F551" s="102" t="e">
        <f t="shared" ca="1" si="95"/>
        <v>#REF!</v>
      </c>
      <c r="G551" s="103">
        <f t="shared" ca="1" si="96"/>
        <v>0.42131740345577684</v>
      </c>
      <c r="H551" s="103">
        <f t="shared" ca="1" si="97"/>
        <v>0.21028971462072479</v>
      </c>
      <c r="I551" s="103" t="e">
        <f t="shared" ca="1" si="98"/>
        <v>#REF!</v>
      </c>
      <c r="J551" s="103" t="e">
        <f t="shared" ca="1" si="99"/>
        <v>#REF!</v>
      </c>
      <c r="K551" s="103" t="e">
        <f t="shared" ca="1" si="100"/>
        <v>#REF!</v>
      </c>
      <c r="L551" s="103" t="e">
        <f t="shared" ca="1" si="101"/>
        <v>#REF!</v>
      </c>
      <c r="M551" s="103" t="e">
        <f t="shared" ca="1" si="102"/>
        <v>#REF!</v>
      </c>
      <c r="N551" s="104" t="e">
        <f t="shared" ca="1" si="103"/>
        <v>#REF!</v>
      </c>
    </row>
    <row r="552" spans="1:14">
      <c r="A552" s="96">
        <v>514</v>
      </c>
      <c r="B552" s="102" t="e">
        <f t="shared" ref="B552:B615" ca="1" si="104">_xlfn.LOGNORM.INV(RAND(),$D$5,$E$5)</f>
        <v>#REF!</v>
      </c>
      <c r="C552" s="102" t="e">
        <f t="shared" ref="C552:C615" ca="1" si="105">_xlfn.LOGNORM.INV(RAND(),$D$6,$E$6)</f>
        <v>#REF!</v>
      </c>
      <c r="D552" s="102" t="e">
        <f t="shared" ref="D552:D615" ca="1" si="106">_xlfn.LOGNORM.INV(RAND(),$D$7,$E$7)</f>
        <v>#REF!</v>
      </c>
      <c r="E552" s="102" t="e">
        <f t="shared" ref="E552:E615" ca="1" si="107">_xlfn.LOGNORM.INV(RAND(),$D$8,$E$8)</f>
        <v>#REF!</v>
      </c>
      <c r="F552" s="102" t="e">
        <f t="shared" ref="F552:F615" ca="1" si="108">_xlfn.LOGNORM.INV(RAND(),$D$9,$E$9)</f>
        <v>#REF!</v>
      </c>
      <c r="G552" s="103">
        <f t="shared" ref="G552:G615" ca="1" si="109">_xlfn.NORM.INV(RAND(),$B$12,$C$12)</f>
        <v>0.44460505566818564</v>
      </c>
      <c r="H552" s="103">
        <f t="shared" ref="H552:H615" ca="1" si="110">_xlfn.NORM.INV(RAND(),$B$13,$C$13)</f>
        <v>0.19224923332582153</v>
      </c>
      <c r="I552" s="103" t="e">
        <f t="shared" ref="I552:I615" ca="1" si="111">G552*($E$16/24)+H552*(1-$E$16/24)</f>
        <v>#REF!</v>
      </c>
      <c r="J552" s="103" t="e">
        <f t="shared" ref="J552:J615" ca="1" si="112">G552*($E$17/24)+H552*(1-$E$17/24)</f>
        <v>#REF!</v>
      </c>
      <c r="K552" s="103" t="e">
        <f t="shared" ref="K552:K615" ca="1" si="113">G552*($E$18/24)+H552*(1-$E$18/24)</f>
        <v>#REF!</v>
      </c>
      <c r="L552" s="103" t="e">
        <f t="shared" ref="L552:L615" ca="1" si="114">G552*($E$19/24)+H552*(1-$E$19/24)</f>
        <v>#REF!</v>
      </c>
      <c r="M552" s="103" t="e">
        <f t="shared" ref="M552:M615" ca="1" si="115">G552*($E$20/24)+H552*(1-$E$20/24)</f>
        <v>#REF!</v>
      </c>
      <c r="N552" s="104" t="e">
        <f t="shared" ref="N552:N615" ca="1" si="116">B552*$B$16+C552*$B$17+D552*$B$18+E552*$B$19+F552*$B$20-($C$16*$D$16*I552+$C$17*$D$17*J552+$C$18*$D$18*K552+$C$19*$D$19*L552+$C$20*$D$20*M552)</f>
        <v>#REF!</v>
      </c>
    </row>
    <row r="553" spans="1:14">
      <c r="A553" s="95">
        <v>515</v>
      </c>
      <c r="B553" s="102" t="e">
        <f t="shared" ca="1" si="104"/>
        <v>#REF!</v>
      </c>
      <c r="C553" s="102" t="e">
        <f t="shared" ca="1" si="105"/>
        <v>#REF!</v>
      </c>
      <c r="D553" s="102" t="e">
        <f t="shared" ca="1" si="106"/>
        <v>#REF!</v>
      </c>
      <c r="E553" s="102" t="e">
        <f t="shared" ca="1" si="107"/>
        <v>#REF!</v>
      </c>
      <c r="F553" s="102" t="e">
        <f t="shared" ca="1" si="108"/>
        <v>#REF!</v>
      </c>
      <c r="G553" s="103">
        <f t="shared" ca="1" si="109"/>
        <v>0.43035782066700584</v>
      </c>
      <c r="H553" s="103">
        <f t="shared" ca="1" si="110"/>
        <v>0.20410615855308836</v>
      </c>
      <c r="I553" s="103" t="e">
        <f t="shared" ca="1" si="111"/>
        <v>#REF!</v>
      </c>
      <c r="J553" s="103" t="e">
        <f t="shared" ca="1" si="112"/>
        <v>#REF!</v>
      </c>
      <c r="K553" s="103" t="e">
        <f t="shared" ca="1" si="113"/>
        <v>#REF!</v>
      </c>
      <c r="L553" s="103" t="e">
        <f t="shared" ca="1" si="114"/>
        <v>#REF!</v>
      </c>
      <c r="M553" s="103" t="e">
        <f t="shared" ca="1" si="115"/>
        <v>#REF!</v>
      </c>
      <c r="N553" s="104" t="e">
        <f t="shared" ca="1" si="116"/>
        <v>#REF!</v>
      </c>
    </row>
    <row r="554" spans="1:14">
      <c r="A554" s="96">
        <v>516</v>
      </c>
      <c r="B554" s="102" t="e">
        <f t="shared" ca="1" si="104"/>
        <v>#REF!</v>
      </c>
      <c r="C554" s="102" t="e">
        <f t="shared" ca="1" si="105"/>
        <v>#REF!</v>
      </c>
      <c r="D554" s="102" t="e">
        <f t="shared" ca="1" si="106"/>
        <v>#REF!</v>
      </c>
      <c r="E554" s="102" t="e">
        <f t="shared" ca="1" si="107"/>
        <v>#REF!</v>
      </c>
      <c r="F554" s="102" t="e">
        <f t="shared" ca="1" si="108"/>
        <v>#REF!</v>
      </c>
      <c r="G554" s="103">
        <f t="shared" ca="1" si="109"/>
        <v>0.42941580331466739</v>
      </c>
      <c r="H554" s="103">
        <f t="shared" ca="1" si="110"/>
        <v>0.19757074958962731</v>
      </c>
      <c r="I554" s="103" t="e">
        <f t="shared" ca="1" si="111"/>
        <v>#REF!</v>
      </c>
      <c r="J554" s="103" t="e">
        <f t="shared" ca="1" si="112"/>
        <v>#REF!</v>
      </c>
      <c r="K554" s="103" t="e">
        <f t="shared" ca="1" si="113"/>
        <v>#REF!</v>
      </c>
      <c r="L554" s="103" t="e">
        <f t="shared" ca="1" si="114"/>
        <v>#REF!</v>
      </c>
      <c r="M554" s="103" t="e">
        <f t="shared" ca="1" si="115"/>
        <v>#REF!</v>
      </c>
      <c r="N554" s="104" t="e">
        <f t="shared" ca="1" si="116"/>
        <v>#REF!</v>
      </c>
    </row>
    <row r="555" spans="1:14">
      <c r="A555" s="95">
        <v>517</v>
      </c>
      <c r="B555" s="102" t="e">
        <f t="shared" ca="1" si="104"/>
        <v>#REF!</v>
      </c>
      <c r="C555" s="102" t="e">
        <f t="shared" ca="1" si="105"/>
        <v>#REF!</v>
      </c>
      <c r="D555" s="102" t="e">
        <f t="shared" ca="1" si="106"/>
        <v>#REF!</v>
      </c>
      <c r="E555" s="102" t="e">
        <f t="shared" ca="1" si="107"/>
        <v>#REF!</v>
      </c>
      <c r="F555" s="102" t="e">
        <f t="shared" ca="1" si="108"/>
        <v>#REF!</v>
      </c>
      <c r="G555" s="103">
        <f t="shared" ca="1" si="109"/>
        <v>0.49090238899169941</v>
      </c>
      <c r="H555" s="103">
        <f t="shared" ca="1" si="110"/>
        <v>0.19765443145211981</v>
      </c>
      <c r="I555" s="103" t="e">
        <f t="shared" ca="1" si="111"/>
        <v>#REF!</v>
      </c>
      <c r="J555" s="103" t="e">
        <f t="shared" ca="1" si="112"/>
        <v>#REF!</v>
      </c>
      <c r="K555" s="103" t="e">
        <f t="shared" ca="1" si="113"/>
        <v>#REF!</v>
      </c>
      <c r="L555" s="103" t="e">
        <f t="shared" ca="1" si="114"/>
        <v>#REF!</v>
      </c>
      <c r="M555" s="103" t="e">
        <f t="shared" ca="1" si="115"/>
        <v>#REF!</v>
      </c>
      <c r="N555" s="104" t="e">
        <f t="shared" ca="1" si="116"/>
        <v>#REF!</v>
      </c>
    </row>
    <row r="556" spans="1:14">
      <c r="A556" s="96">
        <v>518</v>
      </c>
      <c r="B556" s="102" t="e">
        <f t="shared" ca="1" si="104"/>
        <v>#REF!</v>
      </c>
      <c r="C556" s="102" t="e">
        <f t="shared" ca="1" si="105"/>
        <v>#REF!</v>
      </c>
      <c r="D556" s="102" t="e">
        <f t="shared" ca="1" si="106"/>
        <v>#REF!</v>
      </c>
      <c r="E556" s="102" t="e">
        <f t="shared" ca="1" si="107"/>
        <v>#REF!</v>
      </c>
      <c r="F556" s="102" t="e">
        <f t="shared" ca="1" si="108"/>
        <v>#REF!</v>
      </c>
      <c r="G556" s="103">
        <f t="shared" ca="1" si="109"/>
        <v>0.47649101897992852</v>
      </c>
      <c r="H556" s="103">
        <f t="shared" ca="1" si="110"/>
        <v>0.19882060417723921</v>
      </c>
      <c r="I556" s="103" t="e">
        <f t="shared" ca="1" si="111"/>
        <v>#REF!</v>
      </c>
      <c r="J556" s="103" t="e">
        <f t="shared" ca="1" si="112"/>
        <v>#REF!</v>
      </c>
      <c r="K556" s="103" t="e">
        <f t="shared" ca="1" si="113"/>
        <v>#REF!</v>
      </c>
      <c r="L556" s="103" t="e">
        <f t="shared" ca="1" si="114"/>
        <v>#REF!</v>
      </c>
      <c r="M556" s="103" t="e">
        <f t="shared" ca="1" si="115"/>
        <v>#REF!</v>
      </c>
      <c r="N556" s="104" t="e">
        <f t="shared" ca="1" si="116"/>
        <v>#REF!</v>
      </c>
    </row>
    <row r="557" spans="1:14">
      <c r="A557" s="95">
        <v>519</v>
      </c>
      <c r="B557" s="102" t="e">
        <f t="shared" ca="1" si="104"/>
        <v>#REF!</v>
      </c>
      <c r="C557" s="102" t="e">
        <f t="shared" ca="1" si="105"/>
        <v>#REF!</v>
      </c>
      <c r="D557" s="102" t="e">
        <f t="shared" ca="1" si="106"/>
        <v>#REF!</v>
      </c>
      <c r="E557" s="102" t="e">
        <f t="shared" ca="1" si="107"/>
        <v>#REF!</v>
      </c>
      <c r="F557" s="102" t="e">
        <f t="shared" ca="1" si="108"/>
        <v>#REF!</v>
      </c>
      <c r="G557" s="103">
        <f t="shared" ca="1" si="109"/>
        <v>0.44842729367299805</v>
      </c>
      <c r="H557" s="103">
        <f t="shared" ca="1" si="110"/>
        <v>0.20397236507300953</v>
      </c>
      <c r="I557" s="103" t="e">
        <f t="shared" ca="1" si="111"/>
        <v>#REF!</v>
      </c>
      <c r="J557" s="103" t="e">
        <f t="shared" ca="1" si="112"/>
        <v>#REF!</v>
      </c>
      <c r="K557" s="103" t="e">
        <f t="shared" ca="1" si="113"/>
        <v>#REF!</v>
      </c>
      <c r="L557" s="103" t="e">
        <f t="shared" ca="1" si="114"/>
        <v>#REF!</v>
      </c>
      <c r="M557" s="103" t="e">
        <f t="shared" ca="1" si="115"/>
        <v>#REF!</v>
      </c>
      <c r="N557" s="104" t="e">
        <f t="shared" ca="1" si="116"/>
        <v>#REF!</v>
      </c>
    </row>
    <row r="558" spans="1:14">
      <c r="A558" s="96">
        <v>520</v>
      </c>
      <c r="B558" s="102" t="e">
        <f t="shared" ca="1" si="104"/>
        <v>#REF!</v>
      </c>
      <c r="C558" s="102" t="e">
        <f t="shared" ca="1" si="105"/>
        <v>#REF!</v>
      </c>
      <c r="D558" s="102" t="e">
        <f t="shared" ca="1" si="106"/>
        <v>#REF!</v>
      </c>
      <c r="E558" s="102" t="e">
        <f t="shared" ca="1" si="107"/>
        <v>#REF!</v>
      </c>
      <c r="F558" s="102" t="e">
        <f t="shared" ca="1" si="108"/>
        <v>#REF!</v>
      </c>
      <c r="G558" s="103">
        <f t="shared" ca="1" si="109"/>
        <v>0.39915668515677188</v>
      </c>
      <c r="H558" s="103">
        <f t="shared" ca="1" si="110"/>
        <v>0.17670508780509356</v>
      </c>
      <c r="I558" s="103" t="e">
        <f t="shared" ca="1" si="111"/>
        <v>#REF!</v>
      </c>
      <c r="J558" s="103" t="e">
        <f t="shared" ca="1" si="112"/>
        <v>#REF!</v>
      </c>
      <c r="K558" s="103" t="e">
        <f t="shared" ca="1" si="113"/>
        <v>#REF!</v>
      </c>
      <c r="L558" s="103" t="e">
        <f t="shared" ca="1" si="114"/>
        <v>#REF!</v>
      </c>
      <c r="M558" s="103" t="e">
        <f t="shared" ca="1" si="115"/>
        <v>#REF!</v>
      </c>
      <c r="N558" s="104" t="e">
        <f t="shared" ca="1" si="116"/>
        <v>#REF!</v>
      </c>
    </row>
    <row r="559" spans="1:14">
      <c r="A559" s="95">
        <v>521</v>
      </c>
      <c r="B559" s="102" t="e">
        <f t="shared" ca="1" si="104"/>
        <v>#REF!</v>
      </c>
      <c r="C559" s="102" t="e">
        <f t="shared" ca="1" si="105"/>
        <v>#REF!</v>
      </c>
      <c r="D559" s="102" t="e">
        <f t="shared" ca="1" si="106"/>
        <v>#REF!</v>
      </c>
      <c r="E559" s="102" t="e">
        <f t="shared" ca="1" si="107"/>
        <v>#REF!</v>
      </c>
      <c r="F559" s="102" t="e">
        <f t="shared" ca="1" si="108"/>
        <v>#REF!</v>
      </c>
      <c r="G559" s="103">
        <f t="shared" ca="1" si="109"/>
        <v>0.46982562844293874</v>
      </c>
      <c r="H559" s="103">
        <f t="shared" ca="1" si="110"/>
        <v>0.18925299163921078</v>
      </c>
      <c r="I559" s="103" t="e">
        <f t="shared" ca="1" si="111"/>
        <v>#REF!</v>
      </c>
      <c r="J559" s="103" t="e">
        <f t="shared" ca="1" si="112"/>
        <v>#REF!</v>
      </c>
      <c r="K559" s="103" t="e">
        <f t="shared" ca="1" si="113"/>
        <v>#REF!</v>
      </c>
      <c r="L559" s="103" t="e">
        <f t="shared" ca="1" si="114"/>
        <v>#REF!</v>
      </c>
      <c r="M559" s="103" t="e">
        <f t="shared" ca="1" si="115"/>
        <v>#REF!</v>
      </c>
      <c r="N559" s="104" t="e">
        <f t="shared" ca="1" si="116"/>
        <v>#REF!</v>
      </c>
    </row>
    <row r="560" spans="1:14">
      <c r="A560" s="96">
        <v>522</v>
      </c>
      <c r="B560" s="102" t="e">
        <f t="shared" ca="1" si="104"/>
        <v>#REF!</v>
      </c>
      <c r="C560" s="102" t="e">
        <f t="shared" ca="1" si="105"/>
        <v>#REF!</v>
      </c>
      <c r="D560" s="102" t="e">
        <f t="shared" ca="1" si="106"/>
        <v>#REF!</v>
      </c>
      <c r="E560" s="102" t="e">
        <f t="shared" ca="1" si="107"/>
        <v>#REF!</v>
      </c>
      <c r="F560" s="102" t="e">
        <f t="shared" ca="1" si="108"/>
        <v>#REF!</v>
      </c>
      <c r="G560" s="103">
        <f t="shared" ca="1" si="109"/>
        <v>0.45913022308447876</v>
      </c>
      <c r="H560" s="103">
        <f t="shared" ca="1" si="110"/>
        <v>0.18319511711327674</v>
      </c>
      <c r="I560" s="103" t="e">
        <f t="shared" ca="1" si="111"/>
        <v>#REF!</v>
      </c>
      <c r="J560" s="103" t="e">
        <f t="shared" ca="1" si="112"/>
        <v>#REF!</v>
      </c>
      <c r="K560" s="103" t="e">
        <f t="shared" ca="1" si="113"/>
        <v>#REF!</v>
      </c>
      <c r="L560" s="103" t="e">
        <f t="shared" ca="1" si="114"/>
        <v>#REF!</v>
      </c>
      <c r="M560" s="103" t="e">
        <f t="shared" ca="1" si="115"/>
        <v>#REF!</v>
      </c>
      <c r="N560" s="104" t="e">
        <f t="shared" ca="1" si="116"/>
        <v>#REF!</v>
      </c>
    </row>
    <row r="561" spans="1:14">
      <c r="A561" s="95">
        <v>523</v>
      </c>
      <c r="B561" s="102" t="e">
        <f t="shared" ca="1" si="104"/>
        <v>#REF!</v>
      </c>
      <c r="C561" s="102" t="e">
        <f t="shared" ca="1" si="105"/>
        <v>#REF!</v>
      </c>
      <c r="D561" s="102" t="e">
        <f t="shared" ca="1" si="106"/>
        <v>#REF!</v>
      </c>
      <c r="E561" s="102" t="e">
        <f t="shared" ca="1" si="107"/>
        <v>#REF!</v>
      </c>
      <c r="F561" s="102" t="e">
        <f t="shared" ca="1" si="108"/>
        <v>#REF!</v>
      </c>
      <c r="G561" s="103">
        <f t="shared" ca="1" si="109"/>
        <v>0.46700905374416374</v>
      </c>
      <c r="H561" s="103">
        <f t="shared" ca="1" si="110"/>
        <v>0.18356167957093503</v>
      </c>
      <c r="I561" s="103" t="e">
        <f t="shared" ca="1" si="111"/>
        <v>#REF!</v>
      </c>
      <c r="J561" s="103" t="e">
        <f t="shared" ca="1" si="112"/>
        <v>#REF!</v>
      </c>
      <c r="K561" s="103" t="e">
        <f t="shared" ca="1" si="113"/>
        <v>#REF!</v>
      </c>
      <c r="L561" s="103" t="e">
        <f t="shared" ca="1" si="114"/>
        <v>#REF!</v>
      </c>
      <c r="M561" s="103" t="e">
        <f t="shared" ca="1" si="115"/>
        <v>#REF!</v>
      </c>
      <c r="N561" s="104" t="e">
        <f t="shared" ca="1" si="116"/>
        <v>#REF!</v>
      </c>
    </row>
    <row r="562" spans="1:14">
      <c r="A562" s="96">
        <v>524</v>
      </c>
      <c r="B562" s="102" t="e">
        <f t="shared" ca="1" si="104"/>
        <v>#REF!</v>
      </c>
      <c r="C562" s="102" t="e">
        <f t="shared" ca="1" si="105"/>
        <v>#REF!</v>
      </c>
      <c r="D562" s="102" t="e">
        <f t="shared" ca="1" si="106"/>
        <v>#REF!</v>
      </c>
      <c r="E562" s="102" t="e">
        <f t="shared" ca="1" si="107"/>
        <v>#REF!</v>
      </c>
      <c r="F562" s="102" t="e">
        <f t="shared" ca="1" si="108"/>
        <v>#REF!</v>
      </c>
      <c r="G562" s="103">
        <f t="shared" ca="1" si="109"/>
        <v>0.4546636630825634</v>
      </c>
      <c r="H562" s="103">
        <f t="shared" ca="1" si="110"/>
        <v>0.20849011830870401</v>
      </c>
      <c r="I562" s="103" t="e">
        <f t="shared" ca="1" si="111"/>
        <v>#REF!</v>
      </c>
      <c r="J562" s="103" t="e">
        <f t="shared" ca="1" si="112"/>
        <v>#REF!</v>
      </c>
      <c r="K562" s="103" t="e">
        <f t="shared" ca="1" si="113"/>
        <v>#REF!</v>
      </c>
      <c r="L562" s="103" t="e">
        <f t="shared" ca="1" si="114"/>
        <v>#REF!</v>
      </c>
      <c r="M562" s="103" t="e">
        <f t="shared" ca="1" si="115"/>
        <v>#REF!</v>
      </c>
      <c r="N562" s="104" t="e">
        <f t="shared" ca="1" si="116"/>
        <v>#REF!</v>
      </c>
    </row>
    <row r="563" spans="1:14">
      <c r="A563" s="95">
        <v>525</v>
      </c>
      <c r="B563" s="102" t="e">
        <f t="shared" ca="1" si="104"/>
        <v>#REF!</v>
      </c>
      <c r="C563" s="102" t="e">
        <f t="shared" ca="1" si="105"/>
        <v>#REF!</v>
      </c>
      <c r="D563" s="102" t="e">
        <f t="shared" ca="1" si="106"/>
        <v>#REF!</v>
      </c>
      <c r="E563" s="102" t="e">
        <f t="shared" ca="1" si="107"/>
        <v>#REF!</v>
      </c>
      <c r="F563" s="102" t="e">
        <f t="shared" ca="1" si="108"/>
        <v>#REF!</v>
      </c>
      <c r="G563" s="103">
        <f t="shared" ca="1" si="109"/>
        <v>0.39722415672689754</v>
      </c>
      <c r="H563" s="103">
        <f t="shared" ca="1" si="110"/>
        <v>0.22217129743349001</v>
      </c>
      <c r="I563" s="103" t="e">
        <f t="shared" ca="1" si="111"/>
        <v>#REF!</v>
      </c>
      <c r="J563" s="103" t="e">
        <f t="shared" ca="1" si="112"/>
        <v>#REF!</v>
      </c>
      <c r="K563" s="103" t="e">
        <f t="shared" ca="1" si="113"/>
        <v>#REF!</v>
      </c>
      <c r="L563" s="103" t="e">
        <f t="shared" ca="1" si="114"/>
        <v>#REF!</v>
      </c>
      <c r="M563" s="103" t="e">
        <f t="shared" ca="1" si="115"/>
        <v>#REF!</v>
      </c>
      <c r="N563" s="104" t="e">
        <f t="shared" ca="1" si="116"/>
        <v>#REF!</v>
      </c>
    </row>
    <row r="564" spans="1:14">
      <c r="A564" s="96">
        <v>526</v>
      </c>
      <c r="B564" s="102" t="e">
        <f t="shared" ca="1" si="104"/>
        <v>#REF!</v>
      </c>
      <c r="C564" s="102" t="e">
        <f t="shared" ca="1" si="105"/>
        <v>#REF!</v>
      </c>
      <c r="D564" s="102" t="e">
        <f t="shared" ca="1" si="106"/>
        <v>#REF!</v>
      </c>
      <c r="E564" s="102" t="e">
        <f t="shared" ca="1" si="107"/>
        <v>#REF!</v>
      </c>
      <c r="F564" s="102" t="e">
        <f t="shared" ca="1" si="108"/>
        <v>#REF!</v>
      </c>
      <c r="G564" s="103">
        <f t="shared" ca="1" si="109"/>
        <v>0.41524519025007955</v>
      </c>
      <c r="H564" s="103">
        <f t="shared" ca="1" si="110"/>
        <v>0.23527123915698578</v>
      </c>
      <c r="I564" s="103" t="e">
        <f t="shared" ca="1" si="111"/>
        <v>#REF!</v>
      </c>
      <c r="J564" s="103" t="e">
        <f t="shared" ca="1" si="112"/>
        <v>#REF!</v>
      </c>
      <c r="K564" s="103" t="e">
        <f t="shared" ca="1" si="113"/>
        <v>#REF!</v>
      </c>
      <c r="L564" s="103" t="e">
        <f t="shared" ca="1" si="114"/>
        <v>#REF!</v>
      </c>
      <c r="M564" s="103" t="e">
        <f t="shared" ca="1" si="115"/>
        <v>#REF!</v>
      </c>
      <c r="N564" s="104" t="e">
        <f t="shared" ca="1" si="116"/>
        <v>#REF!</v>
      </c>
    </row>
    <row r="565" spans="1:14">
      <c r="A565" s="95">
        <v>527</v>
      </c>
      <c r="B565" s="102" t="e">
        <f t="shared" ca="1" si="104"/>
        <v>#REF!</v>
      </c>
      <c r="C565" s="102" t="e">
        <f t="shared" ca="1" si="105"/>
        <v>#REF!</v>
      </c>
      <c r="D565" s="102" t="e">
        <f t="shared" ca="1" si="106"/>
        <v>#REF!</v>
      </c>
      <c r="E565" s="102" t="e">
        <f t="shared" ca="1" si="107"/>
        <v>#REF!</v>
      </c>
      <c r="F565" s="102" t="e">
        <f t="shared" ca="1" si="108"/>
        <v>#REF!</v>
      </c>
      <c r="G565" s="103">
        <f t="shared" ca="1" si="109"/>
        <v>0.4639977014388672</v>
      </c>
      <c r="H565" s="103">
        <f t="shared" ca="1" si="110"/>
        <v>0.18110537543523861</v>
      </c>
      <c r="I565" s="103" t="e">
        <f t="shared" ca="1" si="111"/>
        <v>#REF!</v>
      </c>
      <c r="J565" s="103" t="e">
        <f t="shared" ca="1" si="112"/>
        <v>#REF!</v>
      </c>
      <c r="K565" s="103" t="e">
        <f t="shared" ca="1" si="113"/>
        <v>#REF!</v>
      </c>
      <c r="L565" s="103" t="e">
        <f t="shared" ca="1" si="114"/>
        <v>#REF!</v>
      </c>
      <c r="M565" s="103" t="e">
        <f t="shared" ca="1" si="115"/>
        <v>#REF!</v>
      </c>
      <c r="N565" s="104" t="e">
        <f t="shared" ca="1" si="116"/>
        <v>#REF!</v>
      </c>
    </row>
    <row r="566" spans="1:14">
      <c r="A566" s="96">
        <v>528</v>
      </c>
      <c r="B566" s="102" t="e">
        <f t="shared" ca="1" si="104"/>
        <v>#REF!</v>
      </c>
      <c r="C566" s="102" t="e">
        <f t="shared" ca="1" si="105"/>
        <v>#REF!</v>
      </c>
      <c r="D566" s="102" t="e">
        <f t="shared" ca="1" si="106"/>
        <v>#REF!</v>
      </c>
      <c r="E566" s="102" t="e">
        <f t="shared" ca="1" si="107"/>
        <v>#REF!</v>
      </c>
      <c r="F566" s="102" t="e">
        <f t="shared" ca="1" si="108"/>
        <v>#REF!</v>
      </c>
      <c r="G566" s="103">
        <f t="shared" ca="1" si="109"/>
        <v>0.44195164153283634</v>
      </c>
      <c r="H566" s="103">
        <f t="shared" ca="1" si="110"/>
        <v>0.22087512100531029</v>
      </c>
      <c r="I566" s="103" t="e">
        <f t="shared" ca="1" si="111"/>
        <v>#REF!</v>
      </c>
      <c r="J566" s="103" t="e">
        <f t="shared" ca="1" si="112"/>
        <v>#REF!</v>
      </c>
      <c r="K566" s="103" t="e">
        <f t="shared" ca="1" si="113"/>
        <v>#REF!</v>
      </c>
      <c r="L566" s="103" t="e">
        <f t="shared" ca="1" si="114"/>
        <v>#REF!</v>
      </c>
      <c r="M566" s="103" t="e">
        <f t="shared" ca="1" si="115"/>
        <v>#REF!</v>
      </c>
      <c r="N566" s="104" t="e">
        <f t="shared" ca="1" si="116"/>
        <v>#REF!</v>
      </c>
    </row>
    <row r="567" spans="1:14">
      <c r="A567" s="95">
        <v>529</v>
      </c>
      <c r="B567" s="102" t="e">
        <f t="shared" ca="1" si="104"/>
        <v>#REF!</v>
      </c>
      <c r="C567" s="102" t="e">
        <f t="shared" ca="1" si="105"/>
        <v>#REF!</v>
      </c>
      <c r="D567" s="102" t="e">
        <f t="shared" ca="1" si="106"/>
        <v>#REF!</v>
      </c>
      <c r="E567" s="102" t="e">
        <f t="shared" ca="1" si="107"/>
        <v>#REF!</v>
      </c>
      <c r="F567" s="102" t="e">
        <f t="shared" ca="1" si="108"/>
        <v>#REF!</v>
      </c>
      <c r="G567" s="103">
        <f t="shared" ca="1" si="109"/>
        <v>0.43277209274515421</v>
      </c>
      <c r="H567" s="103">
        <f t="shared" ca="1" si="110"/>
        <v>0.19871986723224835</v>
      </c>
      <c r="I567" s="103" t="e">
        <f t="shared" ca="1" si="111"/>
        <v>#REF!</v>
      </c>
      <c r="J567" s="103" t="e">
        <f t="shared" ca="1" si="112"/>
        <v>#REF!</v>
      </c>
      <c r="K567" s="103" t="e">
        <f t="shared" ca="1" si="113"/>
        <v>#REF!</v>
      </c>
      <c r="L567" s="103" t="e">
        <f t="shared" ca="1" si="114"/>
        <v>#REF!</v>
      </c>
      <c r="M567" s="103" t="e">
        <f t="shared" ca="1" si="115"/>
        <v>#REF!</v>
      </c>
      <c r="N567" s="104" t="e">
        <f t="shared" ca="1" si="116"/>
        <v>#REF!</v>
      </c>
    </row>
    <row r="568" spans="1:14">
      <c r="A568" s="96">
        <v>530</v>
      </c>
      <c r="B568" s="102" t="e">
        <f t="shared" ca="1" si="104"/>
        <v>#REF!</v>
      </c>
      <c r="C568" s="102" t="e">
        <f t="shared" ca="1" si="105"/>
        <v>#REF!</v>
      </c>
      <c r="D568" s="102" t="e">
        <f t="shared" ca="1" si="106"/>
        <v>#REF!</v>
      </c>
      <c r="E568" s="102" t="e">
        <f t="shared" ca="1" si="107"/>
        <v>#REF!</v>
      </c>
      <c r="F568" s="102" t="e">
        <f t="shared" ca="1" si="108"/>
        <v>#REF!</v>
      </c>
      <c r="G568" s="103">
        <f t="shared" ca="1" si="109"/>
        <v>0.44226293466159911</v>
      </c>
      <c r="H568" s="103">
        <f t="shared" ca="1" si="110"/>
        <v>0.19103719162256541</v>
      </c>
      <c r="I568" s="103" t="e">
        <f t="shared" ca="1" si="111"/>
        <v>#REF!</v>
      </c>
      <c r="J568" s="103" t="e">
        <f t="shared" ca="1" si="112"/>
        <v>#REF!</v>
      </c>
      <c r="K568" s="103" t="e">
        <f t="shared" ca="1" si="113"/>
        <v>#REF!</v>
      </c>
      <c r="L568" s="103" t="e">
        <f t="shared" ca="1" si="114"/>
        <v>#REF!</v>
      </c>
      <c r="M568" s="103" t="e">
        <f t="shared" ca="1" si="115"/>
        <v>#REF!</v>
      </c>
      <c r="N568" s="104" t="e">
        <f t="shared" ca="1" si="116"/>
        <v>#REF!</v>
      </c>
    </row>
    <row r="569" spans="1:14">
      <c r="A569" s="95">
        <v>531</v>
      </c>
      <c r="B569" s="102" t="e">
        <f t="shared" ca="1" si="104"/>
        <v>#REF!</v>
      </c>
      <c r="C569" s="102" t="e">
        <f t="shared" ca="1" si="105"/>
        <v>#REF!</v>
      </c>
      <c r="D569" s="102" t="e">
        <f t="shared" ca="1" si="106"/>
        <v>#REF!</v>
      </c>
      <c r="E569" s="102" t="e">
        <f t="shared" ca="1" si="107"/>
        <v>#REF!</v>
      </c>
      <c r="F569" s="102" t="e">
        <f t="shared" ca="1" si="108"/>
        <v>#REF!</v>
      </c>
      <c r="G569" s="103">
        <f t="shared" ca="1" si="109"/>
        <v>0.42276191494710524</v>
      </c>
      <c r="H569" s="103">
        <f t="shared" ca="1" si="110"/>
        <v>0.21895885839648854</v>
      </c>
      <c r="I569" s="103" t="e">
        <f t="shared" ca="1" si="111"/>
        <v>#REF!</v>
      </c>
      <c r="J569" s="103" t="e">
        <f t="shared" ca="1" si="112"/>
        <v>#REF!</v>
      </c>
      <c r="K569" s="103" t="e">
        <f t="shared" ca="1" si="113"/>
        <v>#REF!</v>
      </c>
      <c r="L569" s="103" t="e">
        <f t="shared" ca="1" si="114"/>
        <v>#REF!</v>
      </c>
      <c r="M569" s="103" t="e">
        <f t="shared" ca="1" si="115"/>
        <v>#REF!</v>
      </c>
      <c r="N569" s="104" t="e">
        <f t="shared" ca="1" si="116"/>
        <v>#REF!</v>
      </c>
    </row>
    <row r="570" spans="1:14">
      <c r="A570" s="96">
        <v>532</v>
      </c>
      <c r="B570" s="102" t="e">
        <f t="shared" ca="1" si="104"/>
        <v>#REF!</v>
      </c>
      <c r="C570" s="102" t="e">
        <f t="shared" ca="1" si="105"/>
        <v>#REF!</v>
      </c>
      <c r="D570" s="102" t="e">
        <f t="shared" ca="1" si="106"/>
        <v>#REF!</v>
      </c>
      <c r="E570" s="102" t="e">
        <f t="shared" ca="1" si="107"/>
        <v>#REF!</v>
      </c>
      <c r="F570" s="102" t="e">
        <f t="shared" ca="1" si="108"/>
        <v>#REF!</v>
      </c>
      <c r="G570" s="103">
        <f t="shared" ca="1" si="109"/>
        <v>0.42669424600665729</v>
      </c>
      <c r="H570" s="103">
        <f t="shared" ca="1" si="110"/>
        <v>0.19539039593707414</v>
      </c>
      <c r="I570" s="103" t="e">
        <f t="shared" ca="1" si="111"/>
        <v>#REF!</v>
      </c>
      <c r="J570" s="103" t="e">
        <f t="shared" ca="1" si="112"/>
        <v>#REF!</v>
      </c>
      <c r="K570" s="103" t="e">
        <f t="shared" ca="1" si="113"/>
        <v>#REF!</v>
      </c>
      <c r="L570" s="103" t="e">
        <f t="shared" ca="1" si="114"/>
        <v>#REF!</v>
      </c>
      <c r="M570" s="103" t="e">
        <f t="shared" ca="1" si="115"/>
        <v>#REF!</v>
      </c>
      <c r="N570" s="104" t="e">
        <f t="shared" ca="1" si="116"/>
        <v>#REF!</v>
      </c>
    </row>
    <row r="571" spans="1:14">
      <c r="A571" s="95">
        <v>533</v>
      </c>
      <c r="B571" s="102" t="e">
        <f t="shared" ca="1" si="104"/>
        <v>#REF!</v>
      </c>
      <c r="C571" s="102" t="e">
        <f t="shared" ca="1" si="105"/>
        <v>#REF!</v>
      </c>
      <c r="D571" s="102" t="e">
        <f t="shared" ca="1" si="106"/>
        <v>#REF!</v>
      </c>
      <c r="E571" s="102" t="e">
        <f t="shared" ca="1" si="107"/>
        <v>#REF!</v>
      </c>
      <c r="F571" s="102" t="e">
        <f t="shared" ca="1" si="108"/>
        <v>#REF!</v>
      </c>
      <c r="G571" s="103">
        <f t="shared" ca="1" si="109"/>
        <v>0.43992221775407908</v>
      </c>
      <c r="H571" s="103">
        <f t="shared" ca="1" si="110"/>
        <v>0.1921443881908183</v>
      </c>
      <c r="I571" s="103" t="e">
        <f t="shared" ca="1" si="111"/>
        <v>#REF!</v>
      </c>
      <c r="J571" s="103" t="e">
        <f t="shared" ca="1" si="112"/>
        <v>#REF!</v>
      </c>
      <c r="K571" s="103" t="e">
        <f t="shared" ca="1" si="113"/>
        <v>#REF!</v>
      </c>
      <c r="L571" s="103" t="e">
        <f t="shared" ca="1" si="114"/>
        <v>#REF!</v>
      </c>
      <c r="M571" s="103" t="e">
        <f t="shared" ca="1" si="115"/>
        <v>#REF!</v>
      </c>
      <c r="N571" s="104" t="e">
        <f t="shared" ca="1" si="116"/>
        <v>#REF!</v>
      </c>
    </row>
    <row r="572" spans="1:14">
      <c r="A572" s="96">
        <v>534</v>
      </c>
      <c r="B572" s="102" t="e">
        <f t="shared" ca="1" si="104"/>
        <v>#REF!</v>
      </c>
      <c r="C572" s="102" t="e">
        <f t="shared" ca="1" si="105"/>
        <v>#REF!</v>
      </c>
      <c r="D572" s="102" t="e">
        <f t="shared" ca="1" si="106"/>
        <v>#REF!</v>
      </c>
      <c r="E572" s="102" t="e">
        <f t="shared" ca="1" si="107"/>
        <v>#REF!</v>
      </c>
      <c r="F572" s="102" t="e">
        <f t="shared" ca="1" si="108"/>
        <v>#REF!</v>
      </c>
      <c r="G572" s="103">
        <f t="shared" ca="1" si="109"/>
        <v>0.42878516149929169</v>
      </c>
      <c r="H572" s="103">
        <f t="shared" ca="1" si="110"/>
        <v>0.20120810152058871</v>
      </c>
      <c r="I572" s="103" t="e">
        <f t="shared" ca="1" si="111"/>
        <v>#REF!</v>
      </c>
      <c r="J572" s="103" t="e">
        <f t="shared" ca="1" si="112"/>
        <v>#REF!</v>
      </c>
      <c r="K572" s="103" t="e">
        <f t="shared" ca="1" si="113"/>
        <v>#REF!</v>
      </c>
      <c r="L572" s="103" t="e">
        <f t="shared" ca="1" si="114"/>
        <v>#REF!</v>
      </c>
      <c r="M572" s="103" t="e">
        <f t="shared" ca="1" si="115"/>
        <v>#REF!</v>
      </c>
      <c r="N572" s="104" t="e">
        <f t="shared" ca="1" si="116"/>
        <v>#REF!</v>
      </c>
    </row>
    <row r="573" spans="1:14">
      <c r="A573" s="95">
        <v>535</v>
      </c>
      <c r="B573" s="102" t="e">
        <f t="shared" ca="1" si="104"/>
        <v>#REF!</v>
      </c>
      <c r="C573" s="102" t="e">
        <f t="shared" ca="1" si="105"/>
        <v>#REF!</v>
      </c>
      <c r="D573" s="102" t="e">
        <f t="shared" ca="1" si="106"/>
        <v>#REF!</v>
      </c>
      <c r="E573" s="102" t="e">
        <f t="shared" ca="1" si="107"/>
        <v>#REF!</v>
      </c>
      <c r="F573" s="102" t="e">
        <f t="shared" ca="1" si="108"/>
        <v>#REF!</v>
      </c>
      <c r="G573" s="103">
        <f t="shared" ca="1" si="109"/>
        <v>0.40216981603051305</v>
      </c>
      <c r="H573" s="103">
        <f t="shared" ca="1" si="110"/>
        <v>0.19729783092561401</v>
      </c>
      <c r="I573" s="103" t="e">
        <f t="shared" ca="1" si="111"/>
        <v>#REF!</v>
      </c>
      <c r="J573" s="103" t="e">
        <f t="shared" ca="1" si="112"/>
        <v>#REF!</v>
      </c>
      <c r="K573" s="103" t="e">
        <f t="shared" ca="1" si="113"/>
        <v>#REF!</v>
      </c>
      <c r="L573" s="103" t="e">
        <f t="shared" ca="1" si="114"/>
        <v>#REF!</v>
      </c>
      <c r="M573" s="103" t="e">
        <f t="shared" ca="1" si="115"/>
        <v>#REF!</v>
      </c>
      <c r="N573" s="104" t="e">
        <f t="shared" ca="1" si="116"/>
        <v>#REF!</v>
      </c>
    </row>
    <row r="574" spans="1:14">
      <c r="A574" s="96">
        <v>536</v>
      </c>
      <c r="B574" s="102" t="e">
        <f t="shared" ca="1" si="104"/>
        <v>#REF!</v>
      </c>
      <c r="C574" s="102" t="e">
        <f t="shared" ca="1" si="105"/>
        <v>#REF!</v>
      </c>
      <c r="D574" s="102" t="e">
        <f t="shared" ca="1" si="106"/>
        <v>#REF!</v>
      </c>
      <c r="E574" s="102" t="e">
        <f t="shared" ca="1" si="107"/>
        <v>#REF!</v>
      </c>
      <c r="F574" s="102" t="e">
        <f t="shared" ca="1" si="108"/>
        <v>#REF!</v>
      </c>
      <c r="G574" s="103">
        <f t="shared" ca="1" si="109"/>
        <v>0.43188352166357502</v>
      </c>
      <c r="H574" s="103">
        <f t="shared" ca="1" si="110"/>
        <v>0.19589414060047855</v>
      </c>
      <c r="I574" s="103" t="e">
        <f t="shared" ca="1" si="111"/>
        <v>#REF!</v>
      </c>
      <c r="J574" s="103" t="e">
        <f t="shared" ca="1" si="112"/>
        <v>#REF!</v>
      </c>
      <c r="K574" s="103" t="e">
        <f t="shared" ca="1" si="113"/>
        <v>#REF!</v>
      </c>
      <c r="L574" s="103" t="e">
        <f t="shared" ca="1" si="114"/>
        <v>#REF!</v>
      </c>
      <c r="M574" s="103" t="e">
        <f t="shared" ca="1" si="115"/>
        <v>#REF!</v>
      </c>
      <c r="N574" s="104" t="e">
        <f t="shared" ca="1" si="116"/>
        <v>#REF!</v>
      </c>
    </row>
    <row r="575" spans="1:14">
      <c r="A575" s="95">
        <v>537</v>
      </c>
      <c r="B575" s="102" t="e">
        <f t="shared" ca="1" si="104"/>
        <v>#REF!</v>
      </c>
      <c r="C575" s="102" t="e">
        <f t="shared" ca="1" si="105"/>
        <v>#REF!</v>
      </c>
      <c r="D575" s="102" t="e">
        <f t="shared" ca="1" si="106"/>
        <v>#REF!</v>
      </c>
      <c r="E575" s="102" t="e">
        <f t="shared" ca="1" si="107"/>
        <v>#REF!</v>
      </c>
      <c r="F575" s="102" t="e">
        <f t="shared" ca="1" si="108"/>
        <v>#REF!</v>
      </c>
      <c r="G575" s="103">
        <f t="shared" ca="1" si="109"/>
        <v>0.44775338674601239</v>
      </c>
      <c r="H575" s="103">
        <f t="shared" ca="1" si="110"/>
        <v>0.20265918549168696</v>
      </c>
      <c r="I575" s="103" t="e">
        <f t="shared" ca="1" si="111"/>
        <v>#REF!</v>
      </c>
      <c r="J575" s="103" t="e">
        <f t="shared" ca="1" si="112"/>
        <v>#REF!</v>
      </c>
      <c r="K575" s="103" t="e">
        <f t="shared" ca="1" si="113"/>
        <v>#REF!</v>
      </c>
      <c r="L575" s="103" t="e">
        <f t="shared" ca="1" si="114"/>
        <v>#REF!</v>
      </c>
      <c r="M575" s="103" t="e">
        <f t="shared" ca="1" si="115"/>
        <v>#REF!</v>
      </c>
      <c r="N575" s="104" t="e">
        <f t="shared" ca="1" si="116"/>
        <v>#REF!</v>
      </c>
    </row>
    <row r="576" spans="1:14">
      <c r="A576" s="96">
        <v>538</v>
      </c>
      <c r="B576" s="102" t="e">
        <f t="shared" ca="1" si="104"/>
        <v>#REF!</v>
      </c>
      <c r="C576" s="102" t="e">
        <f t="shared" ca="1" si="105"/>
        <v>#REF!</v>
      </c>
      <c r="D576" s="102" t="e">
        <f t="shared" ca="1" si="106"/>
        <v>#REF!</v>
      </c>
      <c r="E576" s="102" t="e">
        <f t="shared" ca="1" si="107"/>
        <v>#REF!</v>
      </c>
      <c r="F576" s="102" t="e">
        <f t="shared" ca="1" si="108"/>
        <v>#REF!</v>
      </c>
      <c r="G576" s="103">
        <f t="shared" ca="1" si="109"/>
        <v>0.45027704687370762</v>
      </c>
      <c r="H576" s="103">
        <f t="shared" ca="1" si="110"/>
        <v>0.19586602800314712</v>
      </c>
      <c r="I576" s="103" t="e">
        <f t="shared" ca="1" si="111"/>
        <v>#REF!</v>
      </c>
      <c r="J576" s="103" t="e">
        <f t="shared" ca="1" si="112"/>
        <v>#REF!</v>
      </c>
      <c r="K576" s="103" t="e">
        <f t="shared" ca="1" si="113"/>
        <v>#REF!</v>
      </c>
      <c r="L576" s="103" t="e">
        <f t="shared" ca="1" si="114"/>
        <v>#REF!</v>
      </c>
      <c r="M576" s="103" t="e">
        <f t="shared" ca="1" si="115"/>
        <v>#REF!</v>
      </c>
      <c r="N576" s="104" t="e">
        <f t="shared" ca="1" si="116"/>
        <v>#REF!</v>
      </c>
    </row>
    <row r="577" spans="1:14">
      <c r="A577" s="95">
        <v>539</v>
      </c>
      <c r="B577" s="102" t="e">
        <f t="shared" ca="1" si="104"/>
        <v>#REF!</v>
      </c>
      <c r="C577" s="102" t="e">
        <f t="shared" ca="1" si="105"/>
        <v>#REF!</v>
      </c>
      <c r="D577" s="102" t="e">
        <f t="shared" ca="1" si="106"/>
        <v>#REF!</v>
      </c>
      <c r="E577" s="102" t="e">
        <f t="shared" ca="1" si="107"/>
        <v>#REF!</v>
      </c>
      <c r="F577" s="102" t="e">
        <f t="shared" ca="1" si="108"/>
        <v>#REF!</v>
      </c>
      <c r="G577" s="103">
        <f t="shared" ca="1" si="109"/>
        <v>0.43218369831899717</v>
      </c>
      <c r="H577" s="103">
        <f t="shared" ca="1" si="110"/>
        <v>0.18760923716731834</v>
      </c>
      <c r="I577" s="103" t="e">
        <f t="shared" ca="1" si="111"/>
        <v>#REF!</v>
      </c>
      <c r="J577" s="103" t="e">
        <f t="shared" ca="1" si="112"/>
        <v>#REF!</v>
      </c>
      <c r="K577" s="103" t="e">
        <f t="shared" ca="1" si="113"/>
        <v>#REF!</v>
      </c>
      <c r="L577" s="103" t="e">
        <f t="shared" ca="1" si="114"/>
        <v>#REF!</v>
      </c>
      <c r="M577" s="103" t="e">
        <f t="shared" ca="1" si="115"/>
        <v>#REF!</v>
      </c>
      <c r="N577" s="104" t="e">
        <f t="shared" ca="1" si="116"/>
        <v>#REF!</v>
      </c>
    </row>
    <row r="578" spans="1:14">
      <c r="A578" s="96">
        <v>540</v>
      </c>
      <c r="B578" s="102" t="e">
        <f t="shared" ca="1" si="104"/>
        <v>#REF!</v>
      </c>
      <c r="C578" s="102" t="e">
        <f t="shared" ca="1" si="105"/>
        <v>#REF!</v>
      </c>
      <c r="D578" s="102" t="e">
        <f t="shared" ca="1" si="106"/>
        <v>#REF!</v>
      </c>
      <c r="E578" s="102" t="e">
        <f t="shared" ca="1" si="107"/>
        <v>#REF!</v>
      </c>
      <c r="F578" s="102" t="e">
        <f t="shared" ca="1" si="108"/>
        <v>#REF!</v>
      </c>
      <c r="G578" s="103">
        <f t="shared" ca="1" si="109"/>
        <v>0.45569099413236236</v>
      </c>
      <c r="H578" s="103">
        <f t="shared" ca="1" si="110"/>
        <v>0.18131674807894799</v>
      </c>
      <c r="I578" s="103" t="e">
        <f t="shared" ca="1" si="111"/>
        <v>#REF!</v>
      </c>
      <c r="J578" s="103" t="e">
        <f t="shared" ca="1" si="112"/>
        <v>#REF!</v>
      </c>
      <c r="K578" s="103" t="e">
        <f t="shared" ca="1" si="113"/>
        <v>#REF!</v>
      </c>
      <c r="L578" s="103" t="e">
        <f t="shared" ca="1" si="114"/>
        <v>#REF!</v>
      </c>
      <c r="M578" s="103" t="e">
        <f t="shared" ca="1" si="115"/>
        <v>#REF!</v>
      </c>
      <c r="N578" s="104" t="e">
        <f t="shared" ca="1" si="116"/>
        <v>#REF!</v>
      </c>
    </row>
    <row r="579" spans="1:14">
      <c r="A579" s="95">
        <v>541</v>
      </c>
      <c r="B579" s="102" t="e">
        <f t="shared" ca="1" si="104"/>
        <v>#REF!</v>
      </c>
      <c r="C579" s="102" t="e">
        <f t="shared" ca="1" si="105"/>
        <v>#REF!</v>
      </c>
      <c r="D579" s="102" t="e">
        <f t="shared" ca="1" si="106"/>
        <v>#REF!</v>
      </c>
      <c r="E579" s="102" t="e">
        <f t="shared" ca="1" si="107"/>
        <v>#REF!</v>
      </c>
      <c r="F579" s="102" t="e">
        <f t="shared" ca="1" si="108"/>
        <v>#REF!</v>
      </c>
      <c r="G579" s="103">
        <f t="shared" ca="1" si="109"/>
        <v>0.42072426046663419</v>
      </c>
      <c r="H579" s="103">
        <f t="shared" ca="1" si="110"/>
        <v>0.19809005706427038</v>
      </c>
      <c r="I579" s="103" t="e">
        <f t="shared" ca="1" si="111"/>
        <v>#REF!</v>
      </c>
      <c r="J579" s="103" t="e">
        <f t="shared" ca="1" si="112"/>
        <v>#REF!</v>
      </c>
      <c r="K579" s="103" t="e">
        <f t="shared" ca="1" si="113"/>
        <v>#REF!</v>
      </c>
      <c r="L579" s="103" t="e">
        <f t="shared" ca="1" si="114"/>
        <v>#REF!</v>
      </c>
      <c r="M579" s="103" t="e">
        <f t="shared" ca="1" si="115"/>
        <v>#REF!</v>
      </c>
      <c r="N579" s="104" t="e">
        <f t="shared" ca="1" si="116"/>
        <v>#REF!</v>
      </c>
    </row>
    <row r="580" spans="1:14">
      <c r="A580" s="96">
        <v>542</v>
      </c>
      <c r="B580" s="102" t="e">
        <f t="shared" ca="1" si="104"/>
        <v>#REF!</v>
      </c>
      <c r="C580" s="102" t="e">
        <f t="shared" ca="1" si="105"/>
        <v>#REF!</v>
      </c>
      <c r="D580" s="102" t="e">
        <f t="shared" ca="1" si="106"/>
        <v>#REF!</v>
      </c>
      <c r="E580" s="102" t="e">
        <f t="shared" ca="1" si="107"/>
        <v>#REF!</v>
      </c>
      <c r="F580" s="102" t="e">
        <f t="shared" ca="1" si="108"/>
        <v>#REF!</v>
      </c>
      <c r="G580" s="103">
        <f t="shared" ca="1" si="109"/>
        <v>0.39809188999595341</v>
      </c>
      <c r="H580" s="103">
        <f t="shared" ca="1" si="110"/>
        <v>0.20900359934886606</v>
      </c>
      <c r="I580" s="103" t="e">
        <f t="shared" ca="1" si="111"/>
        <v>#REF!</v>
      </c>
      <c r="J580" s="103" t="e">
        <f t="shared" ca="1" si="112"/>
        <v>#REF!</v>
      </c>
      <c r="K580" s="103" t="e">
        <f t="shared" ca="1" si="113"/>
        <v>#REF!</v>
      </c>
      <c r="L580" s="103" t="e">
        <f t="shared" ca="1" si="114"/>
        <v>#REF!</v>
      </c>
      <c r="M580" s="103" t="e">
        <f t="shared" ca="1" si="115"/>
        <v>#REF!</v>
      </c>
      <c r="N580" s="104" t="e">
        <f t="shared" ca="1" si="116"/>
        <v>#REF!</v>
      </c>
    </row>
    <row r="581" spans="1:14">
      <c r="A581" s="95">
        <v>543</v>
      </c>
      <c r="B581" s="102" t="e">
        <f t="shared" ca="1" si="104"/>
        <v>#REF!</v>
      </c>
      <c r="C581" s="102" t="e">
        <f t="shared" ca="1" si="105"/>
        <v>#REF!</v>
      </c>
      <c r="D581" s="102" t="e">
        <f t="shared" ca="1" si="106"/>
        <v>#REF!</v>
      </c>
      <c r="E581" s="102" t="e">
        <f t="shared" ca="1" si="107"/>
        <v>#REF!</v>
      </c>
      <c r="F581" s="102" t="e">
        <f t="shared" ca="1" si="108"/>
        <v>#REF!</v>
      </c>
      <c r="G581" s="103">
        <f t="shared" ca="1" si="109"/>
        <v>0.43824395170289393</v>
      </c>
      <c r="H581" s="103">
        <f t="shared" ca="1" si="110"/>
        <v>0.19627002567557342</v>
      </c>
      <c r="I581" s="103" t="e">
        <f t="shared" ca="1" si="111"/>
        <v>#REF!</v>
      </c>
      <c r="J581" s="103" t="e">
        <f t="shared" ca="1" si="112"/>
        <v>#REF!</v>
      </c>
      <c r="K581" s="103" t="e">
        <f t="shared" ca="1" si="113"/>
        <v>#REF!</v>
      </c>
      <c r="L581" s="103" t="e">
        <f t="shared" ca="1" si="114"/>
        <v>#REF!</v>
      </c>
      <c r="M581" s="103" t="e">
        <f t="shared" ca="1" si="115"/>
        <v>#REF!</v>
      </c>
      <c r="N581" s="104" t="e">
        <f t="shared" ca="1" si="116"/>
        <v>#REF!</v>
      </c>
    </row>
    <row r="582" spans="1:14">
      <c r="A582" s="96">
        <v>544</v>
      </c>
      <c r="B582" s="102" t="e">
        <f t="shared" ca="1" si="104"/>
        <v>#REF!</v>
      </c>
      <c r="C582" s="102" t="e">
        <f t="shared" ca="1" si="105"/>
        <v>#REF!</v>
      </c>
      <c r="D582" s="102" t="e">
        <f t="shared" ca="1" si="106"/>
        <v>#REF!</v>
      </c>
      <c r="E582" s="102" t="e">
        <f t="shared" ca="1" si="107"/>
        <v>#REF!</v>
      </c>
      <c r="F582" s="102" t="e">
        <f t="shared" ca="1" si="108"/>
        <v>#REF!</v>
      </c>
      <c r="G582" s="103">
        <f t="shared" ca="1" si="109"/>
        <v>0.41856664111801067</v>
      </c>
      <c r="H582" s="103">
        <f t="shared" ca="1" si="110"/>
        <v>0.17074847607852084</v>
      </c>
      <c r="I582" s="103" t="e">
        <f t="shared" ca="1" si="111"/>
        <v>#REF!</v>
      </c>
      <c r="J582" s="103" t="e">
        <f t="shared" ca="1" si="112"/>
        <v>#REF!</v>
      </c>
      <c r="K582" s="103" t="e">
        <f t="shared" ca="1" si="113"/>
        <v>#REF!</v>
      </c>
      <c r="L582" s="103" t="e">
        <f t="shared" ca="1" si="114"/>
        <v>#REF!</v>
      </c>
      <c r="M582" s="103" t="e">
        <f t="shared" ca="1" si="115"/>
        <v>#REF!</v>
      </c>
      <c r="N582" s="104" t="e">
        <f t="shared" ca="1" si="116"/>
        <v>#REF!</v>
      </c>
    </row>
    <row r="583" spans="1:14">
      <c r="A583" s="95">
        <v>545</v>
      </c>
      <c r="B583" s="102" t="e">
        <f t="shared" ca="1" si="104"/>
        <v>#REF!</v>
      </c>
      <c r="C583" s="102" t="e">
        <f t="shared" ca="1" si="105"/>
        <v>#REF!</v>
      </c>
      <c r="D583" s="102" t="e">
        <f t="shared" ca="1" si="106"/>
        <v>#REF!</v>
      </c>
      <c r="E583" s="102" t="e">
        <f t="shared" ca="1" si="107"/>
        <v>#REF!</v>
      </c>
      <c r="F583" s="102" t="e">
        <f t="shared" ca="1" si="108"/>
        <v>#REF!</v>
      </c>
      <c r="G583" s="103">
        <f t="shared" ca="1" si="109"/>
        <v>0.41352681532153135</v>
      </c>
      <c r="H583" s="103">
        <f t="shared" ca="1" si="110"/>
        <v>0.2039491338146257</v>
      </c>
      <c r="I583" s="103" t="e">
        <f t="shared" ca="1" si="111"/>
        <v>#REF!</v>
      </c>
      <c r="J583" s="103" t="e">
        <f t="shared" ca="1" si="112"/>
        <v>#REF!</v>
      </c>
      <c r="K583" s="103" t="e">
        <f t="shared" ca="1" si="113"/>
        <v>#REF!</v>
      </c>
      <c r="L583" s="103" t="e">
        <f t="shared" ca="1" si="114"/>
        <v>#REF!</v>
      </c>
      <c r="M583" s="103" t="e">
        <f t="shared" ca="1" si="115"/>
        <v>#REF!</v>
      </c>
      <c r="N583" s="104" t="e">
        <f t="shared" ca="1" si="116"/>
        <v>#REF!</v>
      </c>
    </row>
    <row r="584" spans="1:14">
      <c r="A584" s="96">
        <v>546</v>
      </c>
      <c r="B584" s="102" t="e">
        <f t="shared" ca="1" si="104"/>
        <v>#REF!</v>
      </c>
      <c r="C584" s="102" t="e">
        <f t="shared" ca="1" si="105"/>
        <v>#REF!</v>
      </c>
      <c r="D584" s="102" t="e">
        <f t="shared" ca="1" si="106"/>
        <v>#REF!</v>
      </c>
      <c r="E584" s="102" t="e">
        <f t="shared" ca="1" si="107"/>
        <v>#REF!</v>
      </c>
      <c r="F584" s="102" t="e">
        <f t="shared" ca="1" si="108"/>
        <v>#REF!</v>
      </c>
      <c r="G584" s="103">
        <f t="shared" ca="1" si="109"/>
        <v>0.43164756698440226</v>
      </c>
      <c r="H584" s="103">
        <f t="shared" ca="1" si="110"/>
        <v>0.20305155362916585</v>
      </c>
      <c r="I584" s="103" t="e">
        <f t="shared" ca="1" si="111"/>
        <v>#REF!</v>
      </c>
      <c r="J584" s="103" t="e">
        <f t="shared" ca="1" si="112"/>
        <v>#REF!</v>
      </c>
      <c r="K584" s="103" t="e">
        <f t="shared" ca="1" si="113"/>
        <v>#REF!</v>
      </c>
      <c r="L584" s="103" t="e">
        <f t="shared" ca="1" si="114"/>
        <v>#REF!</v>
      </c>
      <c r="M584" s="103" t="e">
        <f t="shared" ca="1" si="115"/>
        <v>#REF!</v>
      </c>
      <c r="N584" s="104" t="e">
        <f t="shared" ca="1" si="116"/>
        <v>#REF!</v>
      </c>
    </row>
    <row r="585" spans="1:14">
      <c r="A585" s="95">
        <v>547</v>
      </c>
      <c r="B585" s="102" t="e">
        <f t="shared" ca="1" si="104"/>
        <v>#REF!</v>
      </c>
      <c r="C585" s="102" t="e">
        <f t="shared" ca="1" si="105"/>
        <v>#REF!</v>
      </c>
      <c r="D585" s="102" t="e">
        <f t="shared" ca="1" si="106"/>
        <v>#REF!</v>
      </c>
      <c r="E585" s="102" t="e">
        <f t="shared" ca="1" si="107"/>
        <v>#REF!</v>
      </c>
      <c r="F585" s="102" t="e">
        <f t="shared" ca="1" si="108"/>
        <v>#REF!</v>
      </c>
      <c r="G585" s="103">
        <f t="shared" ca="1" si="109"/>
        <v>0.44299492142562785</v>
      </c>
      <c r="H585" s="103">
        <f t="shared" ca="1" si="110"/>
        <v>0.1942738194655213</v>
      </c>
      <c r="I585" s="103" t="e">
        <f t="shared" ca="1" si="111"/>
        <v>#REF!</v>
      </c>
      <c r="J585" s="103" t="e">
        <f t="shared" ca="1" si="112"/>
        <v>#REF!</v>
      </c>
      <c r="K585" s="103" t="e">
        <f t="shared" ca="1" si="113"/>
        <v>#REF!</v>
      </c>
      <c r="L585" s="103" t="e">
        <f t="shared" ca="1" si="114"/>
        <v>#REF!</v>
      </c>
      <c r="M585" s="103" t="e">
        <f t="shared" ca="1" si="115"/>
        <v>#REF!</v>
      </c>
      <c r="N585" s="104" t="e">
        <f t="shared" ca="1" si="116"/>
        <v>#REF!</v>
      </c>
    </row>
    <row r="586" spans="1:14">
      <c r="A586" s="96">
        <v>548</v>
      </c>
      <c r="B586" s="102" t="e">
        <f t="shared" ca="1" si="104"/>
        <v>#REF!</v>
      </c>
      <c r="C586" s="102" t="e">
        <f t="shared" ca="1" si="105"/>
        <v>#REF!</v>
      </c>
      <c r="D586" s="102" t="e">
        <f t="shared" ca="1" si="106"/>
        <v>#REF!</v>
      </c>
      <c r="E586" s="102" t="e">
        <f t="shared" ca="1" si="107"/>
        <v>#REF!</v>
      </c>
      <c r="F586" s="102" t="e">
        <f t="shared" ca="1" si="108"/>
        <v>#REF!</v>
      </c>
      <c r="G586" s="103">
        <f t="shared" ca="1" si="109"/>
        <v>0.4228031565629195</v>
      </c>
      <c r="H586" s="103">
        <f t="shared" ca="1" si="110"/>
        <v>0.20598820025250414</v>
      </c>
      <c r="I586" s="103" t="e">
        <f t="shared" ca="1" si="111"/>
        <v>#REF!</v>
      </c>
      <c r="J586" s="103" t="e">
        <f t="shared" ca="1" si="112"/>
        <v>#REF!</v>
      </c>
      <c r="K586" s="103" t="e">
        <f t="shared" ca="1" si="113"/>
        <v>#REF!</v>
      </c>
      <c r="L586" s="103" t="e">
        <f t="shared" ca="1" si="114"/>
        <v>#REF!</v>
      </c>
      <c r="M586" s="103" t="e">
        <f t="shared" ca="1" si="115"/>
        <v>#REF!</v>
      </c>
      <c r="N586" s="104" t="e">
        <f t="shared" ca="1" si="116"/>
        <v>#REF!</v>
      </c>
    </row>
    <row r="587" spans="1:14">
      <c r="A587" s="95">
        <v>549</v>
      </c>
      <c r="B587" s="102" t="e">
        <f t="shared" ca="1" si="104"/>
        <v>#REF!</v>
      </c>
      <c r="C587" s="102" t="e">
        <f t="shared" ca="1" si="105"/>
        <v>#REF!</v>
      </c>
      <c r="D587" s="102" t="e">
        <f t="shared" ca="1" si="106"/>
        <v>#REF!</v>
      </c>
      <c r="E587" s="102" t="e">
        <f t="shared" ca="1" si="107"/>
        <v>#REF!</v>
      </c>
      <c r="F587" s="102" t="e">
        <f t="shared" ca="1" si="108"/>
        <v>#REF!</v>
      </c>
      <c r="G587" s="103">
        <f t="shared" ca="1" si="109"/>
        <v>0.43818344710505891</v>
      </c>
      <c r="H587" s="103">
        <f t="shared" ca="1" si="110"/>
        <v>0.1865416914445362</v>
      </c>
      <c r="I587" s="103" t="e">
        <f t="shared" ca="1" si="111"/>
        <v>#REF!</v>
      </c>
      <c r="J587" s="103" t="e">
        <f t="shared" ca="1" si="112"/>
        <v>#REF!</v>
      </c>
      <c r="K587" s="103" t="e">
        <f t="shared" ca="1" si="113"/>
        <v>#REF!</v>
      </c>
      <c r="L587" s="103" t="e">
        <f t="shared" ca="1" si="114"/>
        <v>#REF!</v>
      </c>
      <c r="M587" s="103" t="e">
        <f t="shared" ca="1" si="115"/>
        <v>#REF!</v>
      </c>
      <c r="N587" s="104" t="e">
        <f t="shared" ca="1" si="116"/>
        <v>#REF!</v>
      </c>
    </row>
    <row r="588" spans="1:14">
      <c r="A588" s="96">
        <v>550</v>
      </c>
      <c r="B588" s="102" t="e">
        <f t="shared" ca="1" si="104"/>
        <v>#REF!</v>
      </c>
      <c r="C588" s="102" t="e">
        <f t="shared" ca="1" si="105"/>
        <v>#REF!</v>
      </c>
      <c r="D588" s="102" t="e">
        <f t="shared" ca="1" si="106"/>
        <v>#REF!</v>
      </c>
      <c r="E588" s="102" t="e">
        <f t="shared" ca="1" si="107"/>
        <v>#REF!</v>
      </c>
      <c r="F588" s="102" t="e">
        <f t="shared" ca="1" si="108"/>
        <v>#REF!</v>
      </c>
      <c r="G588" s="103">
        <f t="shared" ca="1" si="109"/>
        <v>0.46070596574021999</v>
      </c>
      <c r="H588" s="103">
        <f t="shared" ca="1" si="110"/>
        <v>0.20197875192651232</v>
      </c>
      <c r="I588" s="103" t="e">
        <f t="shared" ca="1" si="111"/>
        <v>#REF!</v>
      </c>
      <c r="J588" s="103" t="e">
        <f t="shared" ca="1" si="112"/>
        <v>#REF!</v>
      </c>
      <c r="K588" s="103" t="e">
        <f t="shared" ca="1" si="113"/>
        <v>#REF!</v>
      </c>
      <c r="L588" s="103" t="e">
        <f t="shared" ca="1" si="114"/>
        <v>#REF!</v>
      </c>
      <c r="M588" s="103" t="e">
        <f t="shared" ca="1" si="115"/>
        <v>#REF!</v>
      </c>
      <c r="N588" s="104" t="e">
        <f t="shared" ca="1" si="116"/>
        <v>#REF!</v>
      </c>
    </row>
    <row r="589" spans="1:14">
      <c r="A589" s="95">
        <v>551</v>
      </c>
      <c r="B589" s="102" t="e">
        <f t="shared" ca="1" si="104"/>
        <v>#REF!</v>
      </c>
      <c r="C589" s="102" t="e">
        <f t="shared" ca="1" si="105"/>
        <v>#REF!</v>
      </c>
      <c r="D589" s="102" t="e">
        <f t="shared" ca="1" si="106"/>
        <v>#REF!</v>
      </c>
      <c r="E589" s="102" t="e">
        <f t="shared" ca="1" si="107"/>
        <v>#REF!</v>
      </c>
      <c r="F589" s="102" t="e">
        <f t="shared" ca="1" si="108"/>
        <v>#REF!</v>
      </c>
      <c r="G589" s="103">
        <f t="shared" ca="1" si="109"/>
        <v>0.45426884462557926</v>
      </c>
      <c r="H589" s="103">
        <f t="shared" ca="1" si="110"/>
        <v>0.19441198595390133</v>
      </c>
      <c r="I589" s="103" t="e">
        <f t="shared" ca="1" si="111"/>
        <v>#REF!</v>
      </c>
      <c r="J589" s="103" t="e">
        <f t="shared" ca="1" si="112"/>
        <v>#REF!</v>
      </c>
      <c r="K589" s="103" t="e">
        <f t="shared" ca="1" si="113"/>
        <v>#REF!</v>
      </c>
      <c r="L589" s="103" t="e">
        <f t="shared" ca="1" si="114"/>
        <v>#REF!</v>
      </c>
      <c r="M589" s="103" t="e">
        <f t="shared" ca="1" si="115"/>
        <v>#REF!</v>
      </c>
      <c r="N589" s="104" t="e">
        <f t="shared" ca="1" si="116"/>
        <v>#REF!</v>
      </c>
    </row>
    <row r="590" spans="1:14">
      <c r="A590" s="96">
        <v>552</v>
      </c>
      <c r="B590" s="102" t="e">
        <f t="shared" ca="1" si="104"/>
        <v>#REF!</v>
      </c>
      <c r="C590" s="102" t="e">
        <f t="shared" ca="1" si="105"/>
        <v>#REF!</v>
      </c>
      <c r="D590" s="102" t="e">
        <f t="shared" ca="1" si="106"/>
        <v>#REF!</v>
      </c>
      <c r="E590" s="102" t="e">
        <f t="shared" ca="1" si="107"/>
        <v>#REF!</v>
      </c>
      <c r="F590" s="102" t="e">
        <f t="shared" ca="1" si="108"/>
        <v>#REF!</v>
      </c>
      <c r="G590" s="103">
        <f t="shared" ca="1" si="109"/>
        <v>0.42842426855170995</v>
      </c>
      <c r="H590" s="103">
        <f t="shared" ca="1" si="110"/>
        <v>0.17766478770202199</v>
      </c>
      <c r="I590" s="103" t="e">
        <f t="shared" ca="1" si="111"/>
        <v>#REF!</v>
      </c>
      <c r="J590" s="103" t="e">
        <f t="shared" ca="1" si="112"/>
        <v>#REF!</v>
      </c>
      <c r="K590" s="103" t="e">
        <f t="shared" ca="1" si="113"/>
        <v>#REF!</v>
      </c>
      <c r="L590" s="103" t="e">
        <f t="shared" ca="1" si="114"/>
        <v>#REF!</v>
      </c>
      <c r="M590" s="103" t="e">
        <f t="shared" ca="1" si="115"/>
        <v>#REF!</v>
      </c>
      <c r="N590" s="104" t="e">
        <f t="shared" ca="1" si="116"/>
        <v>#REF!</v>
      </c>
    </row>
    <row r="591" spans="1:14">
      <c r="A591" s="95">
        <v>553</v>
      </c>
      <c r="B591" s="102" t="e">
        <f t="shared" ca="1" si="104"/>
        <v>#REF!</v>
      </c>
      <c r="C591" s="102" t="e">
        <f t="shared" ca="1" si="105"/>
        <v>#REF!</v>
      </c>
      <c r="D591" s="102" t="e">
        <f t="shared" ca="1" si="106"/>
        <v>#REF!</v>
      </c>
      <c r="E591" s="102" t="e">
        <f t="shared" ca="1" si="107"/>
        <v>#REF!</v>
      </c>
      <c r="F591" s="102" t="e">
        <f t="shared" ca="1" si="108"/>
        <v>#REF!</v>
      </c>
      <c r="G591" s="103">
        <f t="shared" ca="1" si="109"/>
        <v>0.42815931963570292</v>
      </c>
      <c r="H591" s="103">
        <f t="shared" ca="1" si="110"/>
        <v>0.21474705431478522</v>
      </c>
      <c r="I591" s="103" t="e">
        <f t="shared" ca="1" si="111"/>
        <v>#REF!</v>
      </c>
      <c r="J591" s="103" t="e">
        <f t="shared" ca="1" si="112"/>
        <v>#REF!</v>
      </c>
      <c r="K591" s="103" t="e">
        <f t="shared" ca="1" si="113"/>
        <v>#REF!</v>
      </c>
      <c r="L591" s="103" t="e">
        <f t="shared" ca="1" si="114"/>
        <v>#REF!</v>
      </c>
      <c r="M591" s="103" t="e">
        <f t="shared" ca="1" si="115"/>
        <v>#REF!</v>
      </c>
      <c r="N591" s="104" t="e">
        <f t="shared" ca="1" si="116"/>
        <v>#REF!</v>
      </c>
    </row>
    <row r="592" spans="1:14">
      <c r="A592" s="96">
        <v>554</v>
      </c>
      <c r="B592" s="102" t="e">
        <f t="shared" ca="1" si="104"/>
        <v>#REF!</v>
      </c>
      <c r="C592" s="102" t="e">
        <f t="shared" ca="1" si="105"/>
        <v>#REF!</v>
      </c>
      <c r="D592" s="102" t="e">
        <f t="shared" ca="1" si="106"/>
        <v>#REF!</v>
      </c>
      <c r="E592" s="102" t="e">
        <f t="shared" ca="1" si="107"/>
        <v>#REF!</v>
      </c>
      <c r="F592" s="102" t="e">
        <f t="shared" ca="1" si="108"/>
        <v>#REF!</v>
      </c>
      <c r="G592" s="103">
        <f t="shared" ca="1" si="109"/>
        <v>0.39490455637236727</v>
      </c>
      <c r="H592" s="103">
        <f t="shared" ca="1" si="110"/>
        <v>0.18786544160719693</v>
      </c>
      <c r="I592" s="103" t="e">
        <f t="shared" ca="1" si="111"/>
        <v>#REF!</v>
      </c>
      <c r="J592" s="103" t="e">
        <f t="shared" ca="1" si="112"/>
        <v>#REF!</v>
      </c>
      <c r="K592" s="103" t="e">
        <f t="shared" ca="1" si="113"/>
        <v>#REF!</v>
      </c>
      <c r="L592" s="103" t="e">
        <f t="shared" ca="1" si="114"/>
        <v>#REF!</v>
      </c>
      <c r="M592" s="103" t="e">
        <f t="shared" ca="1" si="115"/>
        <v>#REF!</v>
      </c>
      <c r="N592" s="104" t="e">
        <f t="shared" ca="1" si="116"/>
        <v>#REF!</v>
      </c>
    </row>
    <row r="593" spans="1:14">
      <c r="A593" s="95">
        <v>555</v>
      </c>
      <c r="B593" s="102" t="e">
        <f t="shared" ca="1" si="104"/>
        <v>#REF!</v>
      </c>
      <c r="C593" s="102" t="e">
        <f t="shared" ca="1" si="105"/>
        <v>#REF!</v>
      </c>
      <c r="D593" s="102" t="e">
        <f t="shared" ca="1" si="106"/>
        <v>#REF!</v>
      </c>
      <c r="E593" s="102" t="e">
        <f t="shared" ca="1" si="107"/>
        <v>#REF!</v>
      </c>
      <c r="F593" s="102" t="e">
        <f t="shared" ca="1" si="108"/>
        <v>#REF!</v>
      </c>
      <c r="G593" s="103">
        <f t="shared" ca="1" si="109"/>
        <v>0.45165348987406168</v>
      </c>
      <c r="H593" s="103">
        <f t="shared" ca="1" si="110"/>
        <v>0.18260224843182668</v>
      </c>
      <c r="I593" s="103" t="e">
        <f t="shared" ca="1" si="111"/>
        <v>#REF!</v>
      </c>
      <c r="J593" s="103" t="e">
        <f t="shared" ca="1" si="112"/>
        <v>#REF!</v>
      </c>
      <c r="K593" s="103" t="e">
        <f t="shared" ca="1" si="113"/>
        <v>#REF!</v>
      </c>
      <c r="L593" s="103" t="e">
        <f t="shared" ca="1" si="114"/>
        <v>#REF!</v>
      </c>
      <c r="M593" s="103" t="e">
        <f t="shared" ca="1" si="115"/>
        <v>#REF!</v>
      </c>
      <c r="N593" s="104" t="e">
        <f t="shared" ca="1" si="116"/>
        <v>#REF!</v>
      </c>
    </row>
    <row r="594" spans="1:14">
      <c r="A594" s="96">
        <v>556</v>
      </c>
      <c r="B594" s="102" t="e">
        <f t="shared" ca="1" si="104"/>
        <v>#REF!</v>
      </c>
      <c r="C594" s="102" t="e">
        <f t="shared" ca="1" si="105"/>
        <v>#REF!</v>
      </c>
      <c r="D594" s="102" t="e">
        <f t="shared" ca="1" si="106"/>
        <v>#REF!</v>
      </c>
      <c r="E594" s="102" t="e">
        <f t="shared" ca="1" si="107"/>
        <v>#REF!</v>
      </c>
      <c r="F594" s="102" t="e">
        <f t="shared" ca="1" si="108"/>
        <v>#REF!</v>
      </c>
      <c r="G594" s="103">
        <f t="shared" ca="1" si="109"/>
        <v>0.42348174453439469</v>
      </c>
      <c r="H594" s="103">
        <f t="shared" ca="1" si="110"/>
        <v>0.20422494613253658</v>
      </c>
      <c r="I594" s="103" t="e">
        <f t="shared" ca="1" si="111"/>
        <v>#REF!</v>
      </c>
      <c r="J594" s="103" t="e">
        <f t="shared" ca="1" si="112"/>
        <v>#REF!</v>
      </c>
      <c r="K594" s="103" t="e">
        <f t="shared" ca="1" si="113"/>
        <v>#REF!</v>
      </c>
      <c r="L594" s="103" t="e">
        <f t="shared" ca="1" si="114"/>
        <v>#REF!</v>
      </c>
      <c r="M594" s="103" t="e">
        <f t="shared" ca="1" si="115"/>
        <v>#REF!</v>
      </c>
      <c r="N594" s="104" t="e">
        <f t="shared" ca="1" si="116"/>
        <v>#REF!</v>
      </c>
    </row>
    <row r="595" spans="1:14">
      <c r="A595" s="95">
        <v>557</v>
      </c>
      <c r="B595" s="102" t="e">
        <f t="shared" ca="1" si="104"/>
        <v>#REF!</v>
      </c>
      <c r="C595" s="102" t="e">
        <f t="shared" ca="1" si="105"/>
        <v>#REF!</v>
      </c>
      <c r="D595" s="102" t="e">
        <f t="shared" ca="1" si="106"/>
        <v>#REF!</v>
      </c>
      <c r="E595" s="102" t="e">
        <f t="shared" ca="1" si="107"/>
        <v>#REF!</v>
      </c>
      <c r="F595" s="102" t="e">
        <f t="shared" ca="1" si="108"/>
        <v>#REF!</v>
      </c>
      <c r="G595" s="103">
        <f t="shared" ca="1" si="109"/>
        <v>0.45186140220872217</v>
      </c>
      <c r="H595" s="103">
        <f t="shared" ca="1" si="110"/>
        <v>0.20138362797910619</v>
      </c>
      <c r="I595" s="103" t="e">
        <f t="shared" ca="1" si="111"/>
        <v>#REF!</v>
      </c>
      <c r="J595" s="103" t="e">
        <f t="shared" ca="1" si="112"/>
        <v>#REF!</v>
      </c>
      <c r="K595" s="103" t="e">
        <f t="shared" ca="1" si="113"/>
        <v>#REF!</v>
      </c>
      <c r="L595" s="103" t="e">
        <f t="shared" ca="1" si="114"/>
        <v>#REF!</v>
      </c>
      <c r="M595" s="103" t="e">
        <f t="shared" ca="1" si="115"/>
        <v>#REF!</v>
      </c>
      <c r="N595" s="104" t="e">
        <f t="shared" ca="1" si="116"/>
        <v>#REF!</v>
      </c>
    </row>
    <row r="596" spans="1:14">
      <c r="A596" s="96">
        <v>558</v>
      </c>
      <c r="B596" s="102" t="e">
        <f t="shared" ca="1" si="104"/>
        <v>#REF!</v>
      </c>
      <c r="C596" s="102" t="e">
        <f t="shared" ca="1" si="105"/>
        <v>#REF!</v>
      </c>
      <c r="D596" s="102" t="e">
        <f t="shared" ca="1" si="106"/>
        <v>#REF!</v>
      </c>
      <c r="E596" s="102" t="e">
        <f t="shared" ca="1" si="107"/>
        <v>#REF!</v>
      </c>
      <c r="F596" s="102" t="e">
        <f t="shared" ca="1" si="108"/>
        <v>#REF!</v>
      </c>
      <c r="G596" s="103">
        <f t="shared" ca="1" si="109"/>
        <v>0.44916122307160272</v>
      </c>
      <c r="H596" s="103">
        <f t="shared" ca="1" si="110"/>
        <v>0.22331911685765948</v>
      </c>
      <c r="I596" s="103" t="e">
        <f t="shared" ca="1" si="111"/>
        <v>#REF!</v>
      </c>
      <c r="J596" s="103" t="e">
        <f t="shared" ca="1" si="112"/>
        <v>#REF!</v>
      </c>
      <c r="K596" s="103" t="e">
        <f t="shared" ca="1" si="113"/>
        <v>#REF!</v>
      </c>
      <c r="L596" s="103" t="e">
        <f t="shared" ca="1" si="114"/>
        <v>#REF!</v>
      </c>
      <c r="M596" s="103" t="e">
        <f t="shared" ca="1" si="115"/>
        <v>#REF!</v>
      </c>
      <c r="N596" s="104" t="e">
        <f t="shared" ca="1" si="116"/>
        <v>#REF!</v>
      </c>
    </row>
    <row r="597" spans="1:14">
      <c r="A597" s="95">
        <v>559</v>
      </c>
      <c r="B597" s="102" t="e">
        <f t="shared" ca="1" si="104"/>
        <v>#REF!</v>
      </c>
      <c r="C597" s="102" t="e">
        <f t="shared" ca="1" si="105"/>
        <v>#REF!</v>
      </c>
      <c r="D597" s="102" t="e">
        <f t="shared" ca="1" si="106"/>
        <v>#REF!</v>
      </c>
      <c r="E597" s="102" t="e">
        <f t="shared" ca="1" si="107"/>
        <v>#REF!</v>
      </c>
      <c r="F597" s="102" t="e">
        <f t="shared" ca="1" si="108"/>
        <v>#REF!</v>
      </c>
      <c r="G597" s="103">
        <f t="shared" ca="1" si="109"/>
        <v>0.42475097103508025</v>
      </c>
      <c r="H597" s="103">
        <f t="shared" ca="1" si="110"/>
        <v>0.21414577636104248</v>
      </c>
      <c r="I597" s="103" t="e">
        <f t="shared" ca="1" si="111"/>
        <v>#REF!</v>
      </c>
      <c r="J597" s="103" t="e">
        <f t="shared" ca="1" si="112"/>
        <v>#REF!</v>
      </c>
      <c r="K597" s="103" t="e">
        <f t="shared" ca="1" si="113"/>
        <v>#REF!</v>
      </c>
      <c r="L597" s="103" t="e">
        <f t="shared" ca="1" si="114"/>
        <v>#REF!</v>
      </c>
      <c r="M597" s="103" t="e">
        <f t="shared" ca="1" si="115"/>
        <v>#REF!</v>
      </c>
      <c r="N597" s="104" t="e">
        <f t="shared" ca="1" si="116"/>
        <v>#REF!</v>
      </c>
    </row>
    <row r="598" spans="1:14">
      <c r="A598" s="96">
        <v>560</v>
      </c>
      <c r="B598" s="102" t="e">
        <f t="shared" ca="1" si="104"/>
        <v>#REF!</v>
      </c>
      <c r="C598" s="102" t="e">
        <f t="shared" ca="1" si="105"/>
        <v>#REF!</v>
      </c>
      <c r="D598" s="102" t="e">
        <f t="shared" ca="1" si="106"/>
        <v>#REF!</v>
      </c>
      <c r="E598" s="102" t="e">
        <f t="shared" ca="1" si="107"/>
        <v>#REF!</v>
      </c>
      <c r="F598" s="102" t="e">
        <f t="shared" ca="1" si="108"/>
        <v>#REF!</v>
      </c>
      <c r="G598" s="103">
        <f t="shared" ca="1" si="109"/>
        <v>0.45668422241511863</v>
      </c>
      <c r="H598" s="103">
        <f t="shared" ca="1" si="110"/>
        <v>0.23731336481129653</v>
      </c>
      <c r="I598" s="103" t="e">
        <f t="shared" ca="1" si="111"/>
        <v>#REF!</v>
      </c>
      <c r="J598" s="103" t="e">
        <f t="shared" ca="1" si="112"/>
        <v>#REF!</v>
      </c>
      <c r="K598" s="103" t="e">
        <f t="shared" ca="1" si="113"/>
        <v>#REF!</v>
      </c>
      <c r="L598" s="103" t="e">
        <f t="shared" ca="1" si="114"/>
        <v>#REF!</v>
      </c>
      <c r="M598" s="103" t="e">
        <f t="shared" ca="1" si="115"/>
        <v>#REF!</v>
      </c>
      <c r="N598" s="104" t="e">
        <f t="shared" ca="1" si="116"/>
        <v>#REF!</v>
      </c>
    </row>
    <row r="599" spans="1:14">
      <c r="A599" s="95">
        <v>561</v>
      </c>
      <c r="B599" s="102" t="e">
        <f t="shared" ca="1" si="104"/>
        <v>#REF!</v>
      </c>
      <c r="C599" s="102" t="e">
        <f t="shared" ca="1" si="105"/>
        <v>#REF!</v>
      </c>
      <c r="D599" s="102" t="e">
        <f t="shared" ca="1" si="106"/>
        <v>#REF!</v>
      </c>
      <c r="E599" s="102" t="e">
        <f t="shared" ca="1" si="107"/>
        <v>#REF!</v>
      </c>
      <c r="F599" s="102" t="e">
        <f t="shared" ca="1" si="108"/>
        <v>#REF!</v>
      </c>
      <c r="G599" s="103">
        <f t="shared" ca="1" si="109"/>
        <v>0.48387717034735933</v>
      </c>
      <c r="H599" s="103">
        <f t="shared" ca="1" si="110"/>
        <v>0.18227945347370772</v>
      </c>
      <c r="I599" s="103" t="e">
        <f t="shared" ca="1" si="111"/>
        <v>#REF!</v>
      </c>
      <c r="J599" s="103" t="e">
        <f t="shared" ca="1" si="112"/>
        <v>#REF!</v>
      </c>
      <c r="K599" s="103" t="e">
        <f t="shared" ca="1" si="113"/>
        <v>#REF!</v>
      </c>
      <c r="L599" s="103" t="e">
        <f t="shared" ca="1" si="114"/>
        <v>#REF!</v>
      </c>
      <c r="M599" s="103" t="e">
        <f t="shared" ca="1" si="115"/>
        <v>#REF!</v>
      </c>
      <c r="N599" s="104" t="e">
        <f t="shared" ca="1" si="116"/>
        <v>#REF!</v>
      </c>
    </row>
    <row r="600" spans="1:14">
      <c r="A600" s="96">
        <v>562</v>
      </c>
      <c r="B600" s="102" t="e">
        <f t="shared" ca="1" si="104"/>
        <v>#REF!</v>
      </c>
      <c r="C600" s="102" t="e">
        <f t="shared" ca="1" si="105"/>
        <v>#REF!</v>
      </c>
      <c r="D600" s="102" t="e">
        <f t="shared" ca="1" si="106"/>
        <v>#REF!</v>
      </c>
      <c r="E600" s="102" t="e">
        <f t="shared" ca="1" si="107"/>
        <v>#REF!</v>
      </c>
      <c r="F600" s="102" t="e">
        <f t="shared" ca="1" si="108"/>
        <v>#REF!</v>
      </c>
      <c r="G600" s="103">
        <f t="shared" ca="1" si="109"/>
        <v>0.47307328317283914</v>
      </c>
      <c r="H600" s="103">
        <f t="shared" ca="1" si="110"/>
        <v>0.19175843266585652</v>
      </c>
      <c r="I600" s="103" t="e">
        <f t="shared" ca="1" si="111"/>
        <v>#REF!</v>
      </c>
      <c r="J600" s="103" t="e">
        <f t="shared" ca="1" si="112"/>
        <v>#REF!</v>
      </c>
      <c r="K600" s="103" t="e">
        <f t="shared" ca="1" si="113"/>
        <v>#REF!</v>
      </c>
      <c r="L600" s="103" t="e">
        <f t="shared" ca="1" si="114"/>
        <v>#REF!</v>
      </c>
      <c r="M600" s="103" t="e">
        <f t="shared" ca="1" si="115"/>
        <v>#REF!</v>
      </c>
      <c r="N600" s="104" t="e">
        <f t="shared" ca="1" si="116"/>
        <v>#REF!</v>
      </c>
    </row>
    <row r="601" spans="1:14">
      <c r="A601" s="95">
        <v>563</v>
      </c>
      <c r="B601" s="102" t="e">
        <f t="shared" ca="1" si="104"/>
        <v>#REF!</v>
      </c>
      <c r="C601" s="102" t="e">
        <f t="shared" ca="1" si="105"/>
        <v>#REF!</v>
      </c>
      <c r="D601" s="102" t="e">
        <f t="shared" ca="1" si="106"/>
        <v>#REF!</v>
      </c>
      <c r="E601" s="102" t="e">
        <f t="shared" ca="1" si="107"/>
        <v>#REF!</v>
      </c>
      <c r="F601" s="102" t="e">
        <f t="shared" ca="1" si="108"/>
        <v>#REF!</v>
      </c>
      <c r="G601" s="103">
        <f t="shared" ca="1" si="109"/>
        <v>0.41946307745788119</v>
      </c>
      <c r="H601" s="103">
        <f t="shared" ca="1" si="110"/>
        <v>0.19246266912516155</v>
      </c>
      <c r="I601" s="103" t="e">
        <f t="shared" ca="1" si="111"/>
        <v>#REF!</v>
      </c>
      <c r="J601" s="103" t="e">
        <f t="shared" ca="1" si="112"/>
        <v>#REF!</v>
      </c>
      <c r="K601" s="103" t="e">
        <f t="shared" ca="1" si="113"/>
        <v>#REF!</v>
      </c>
      <c r="L601" s="103" t="e">
        <f t="shared" ca="1" si="114"/>
        <v>#REF!</v>
      </c>
      <c r="M601" s="103" t="e">
        <f t="shared" ca="1" si="115"/>
        <v>#REF!</v>
      </c>
      <c r="N601" s="104" t="e">
        <f t="shared" ca="1" si="116"/>
        <v>#REF!</v>
      </c>
    </row>
    <row r="602" spans="1:14">
      <c r="A602" s="96">
        <v>564</v>
      </c>
      <c r="B602" s="102" t="e">
        <f t="shared" ca="1" si="104"/>
        <v>#REF!</v>
      </c>
      <c r="C602" s="102" t="e">
        <f t="shared" ca="1" si="105"/>
        <v>#REF!</v>
      </c>
      <c r="D602" s="102" t="e">
        <f t="shared" ca="1" si="106"/>
        <v>#REF!</v>
      </c>
      <c r="E602" s="102" t="e">
        <f t="shared" ca="1" si="107"/>
        <v>#REF!</v>
      </c>
      <c r="F602" s="102" t="e">
        <f t="shared" ca="1" si="108"/>
        <v>#REF!</v>
      </c>
      <c r="G602" s="103">
        <f t="shared" ca="1" si="109"/>
        <v>0.42559641203720638</v>
      </c>
      <c r="H602" s="103">
        <f t="shared" ca="1" si="110"/>
        <v>0.19510562383427157</v>
      </c>
      <c r="I602" s="103" t="e">
        <f t="shared" ca="1" si="111"/>
        <v>#REF!</v>
      </c>
      <c r="J602" s="103" t="e">
        <f t="shared" ca="1" si="112"/>
        <v>#REF!</v>
      </c>
      <c r="K602" s="103" t="e">
        <f t="shared" ca="1" si="113"/>
        <v>#REF!</v>
      </c>
      <c r="L602" s="103" t="e">
        <f t="shared" ca="1" si="114"/>
        <v>#REF!</v>
      </c>
      <c r="M602" s="103" t="e">
        <f t="shared" ca="1" si="115"/>
        <v>#REF!</v>
      </c>
      <c r="N602" s="104" t="e">
        <f t="shared" ca="1" si="116"/>
        <v>#REF!</v>
      </c>
    </row>
    <row r="603" spans="1:14">
      <c r="A603" s="95">
        <v>565</v>
      </c>
      <c r="B603" s="102" t="e">
        <f t="shared" ca="1" si="104"/>
        <v>#REF!</v>
      </c>
      <c r="C603" s="102" t="e">
        <f t="shared" ca="1" si="105"/>
        <v>#REF!</v>
      </c>
      <c r="D603" s="102" t="e">
        <f t="shared" ca="1" si="106"/>
        <v>#REF!</v>
      </c>
      <c r="E603" s="102" t="e">
        <f t="shared" ca="1" si="107"/>
        <v>#REF!</v>
      </c>
      <c r="F603" s="102" t="e">
        <f t="shared" ca="1" si="108"/>
        <v>#REF!</v>
      </c>
      <c r="G603" s="103">
        <f t="shared" ca="1" si="109"/>
        <v>0.45845232505972217</v>
      </c>
      <c r="H603" s="103">
        <f t="shared" ca="1" si="110"/>
        <v>0.20108848316261732</v>
      </c>
      <c r="I603" s="103" t="e">
        <f t="shared" ca="1" si="111"/>
        <v>#REF!</v>
      </c>
      <c r="J603" s="103" t="e">
        <f t="shared" ca="1" si="112"/>
        <v>#REF!</v>
      </c>
      <c r="K603" s="103" t="e">
        <f t="shared" ca="1" si="113"/>
        <v>#REF!</v>
      </c>
      <c r="L603" s="103" t="e">
        <f t="shared" ca="1" si="114"/>
        <v>#REF!</v>
      </c>
      <c r="M603" s="103" t="e">
        <f t="shared" ca="1" si="115"/>
        <v>#REF!</v>
      </c>
      <c r="N603" s="104" t="e">
        <f t="shared" ca="1" si="116"/>
        <v>#REF!</v>
      </c>
    </row>
    <row r="604" spans="1:14">
      <c r="A604" s="96">
        <v>566</v>
      </c>
      <c r="B604" s="102" t="e">
        <f t="shared" ca="1" si="104"/>
        <v>#REF!</v>
      </c>
      <c r="C604" s="102" t="e">
        <f t="shared" ca="1" si="105"/>
        <v>#REF!</v>
      </c>
      <c r="D604" s="102" t="e">
        <f t="shared" ca="1" si="106"/>
        <v>#REF!</v>
      </c>
      <c r="E604" s="102" t="e">
        <f t="shared" ca="1" si="107"/>
        <v>#REF!</v>
      </c>
      <c r="F604" s="102" t="e">
        <f t="shared" ca="1" si="108"/>
        <v>#REF!</v>
      </c>
      <c r="G604" s="103">
        <f t="shared" ca="1" si="109"/>
        <v>0.44818426381730264</v>
      </c>
      <c r="H604" s="103">
        <f t="shared" ca="1" si="110"/>
        <v>0.20988258106795291</v>
      </c>
      <c r="I604" s="103" t="e">
        <f t="shared" ca="1" si="111"/>
        <v>#REF!</v>
      </c>
      <c r="J604" s="103" t="e">
        <f t="shared" ca="1" si="112"/>
        <v>#REF!</v>
      </c>
      <c r="K604" s="103" t="e">
        <f t="shared" ca="1" si="113"/>
        <v>#REF!</v>
      </c>
      <c r="L604" s="103" t="e">
        <f t="shared" ca="1" si="114"/>
        <v>#REF!</v>
      </c>
      <c r="M604" s="103" t="e">
        <f t="shared" ca="1" si="115"/>
        <v>#REF!</v>
      </c>
      <c r="N604" s="104" t="e">
        <f t="shared" ca="1" si="116"/>
        <v>#REF!</v>
      </c>
    </row>
    <row r="605" spans="1:14">
      <c r="A605" s="95">
        <v>567</v>
      </c>
      <c r="B605" s="102" t="e">
        <f t="shared" ca="1" si="104"/>
        <v>#REF!</v>
      </c>
      <c r="C605" s="102" t="e">
        <f t="shared" ca="1" si="105"/>
        <v>#REF!</v>
      </c>
      <c r="D605" s="102" t="e">
        <f t="shared" ca="1" si="106"/>
        <v>#REF!</v>
      </c>
      <c r="E605" s="102" t="e">
        <f t="shared" ca="1" si="107"/>
        <v>#REF!</v>
      </c>
      <c r="F605" s="102" t="e">
        <f t="shared" ca="1" si="108"/>
        <v>#REF!</v>
      </c>
      <c r="G605" s="103">
        <f t="shared" ca="1" si="109"/>
        <v>0.42929340336178035</v>
      </c>
      <c r="H605" s="103">
        <f t="shared" ca="1" si="110"/>
        <v>0.22384867860592739</v>
      </c>
      <c r="I605" s="103" t="e">
        <f t="shared" ca="1" si="111"/>
        <v>#REF!</v>
      </c>
      <c r="J605" s="103" t="e">
        <f t="shared" ca="1" si="112"/>
        <v>#REF!</v>
      </c>
      <c r="K605" s="103" t="e">
        <f t="shared" ca="1" si="113"/>
        <v>#REF!</v>
      </c>
      <c r="L605" s="103" t="e">
        <f t="shared" ca="1" si="114"/>
        <v>#REF!</v>
      </c>
      <c r="M605" s="103" t="e">
        <f t="shared" ca="1" si="115"/>
        <v>#REF!</v>
      </c>
      <c r="N605" s="104" t="e">
        <f t="shared" ca="1" si="116"/>
        <v>#REF!</v>
      </c>
    </row>
    <row r="606" spans="1:14">
      <c r="A606" s="96">
        <v>568</v>
      </c>
      <c r="B606" s="102" t="e">
        <f t="shared" ca="1" si="104"/>
        <v>#REF!</v>
      </c>
      <c r="C606" s="102" t="e">
        <f t="shared" ca="1" si="105"/>
        <v>#REF!</v>
      </c>
      <c r="D606" s="102" t="e">
        <f t="shared" ca="1" si="106"/>
        <v>#REF!</v>
      </c>
      <c r="E606" s="102" t="e">
        <f t="shared" ca="1" si="107"/>
        <v>#REF!</v>
      </c>
      <c r="F606" s="102" t="e">
        <f t="shared" ca="1" si="108"/>
        <v>#REF!</v>
      </c>
      <c r="G606" s="103">
        <f t="shared" ca="1" si="109"/>
        <v>0.41279190029207402</v>
      </c>
      <c r="H606" s="103">
        <f t="shared" ca="1" si="110"/>
        <v>0.21125192152232211</v>
      </c>
      <c r="I606" s="103" t="e">
        <f t="shared" ca="1" si="111"/>
        <v>#REF!</v>
      </c>
      <c r="J606" s="103" t="e">
        <f t="shared" ca="1" si="112"/>
        <v>#REF!</v>
      </c>
      <c r="K606" s="103" t="e">
        <f t="shared" ca="1" si="113"/>
        <v>#REF!</v>
      </c>
      <c r="L606" s="103" t="e">
        <f t="shared" ca="1" si="114"/>
        <v>#REF!</v>
      </c>
      <c r="M606" s="103" t="e">
        <f t="shared" ca="1" si="115"/>
        <v>#REF!</v>
      </c>
      <c r="N606" s="104" t="e">
        <f t="shared" ca="1" si="116"/>
        <v>#REF!</v>
      </c>
    </row>
    <row r="607" spans="1:14">
      <c r="A607" s="95">
        <v>569</v>
      </c>
      <c r="B607" s="102" t="e">
        <f t="shared" ca="1" si="104"/>
        <v>#REF!</v>
      </c>
      <c r="C607" s="102" t="e">
        <f t="shared" ca="1" si="105"/>
        <v>#REF!</v>
      </c>
      <c r="D607" s="102" t="e">
        <f t="shared" ca="1" si="106"/>
        <v>#REF!</v>
      </c>
      <c r="E607" s="102" t="e">
        <f t="shared" ca="1" si="107"/>
        <v>#REF!</v>
      </c>
      <c r="F607" s="102" t="e">
        <f t="shared" ca="1" si="108"/>
        <v>#REF!</v>
      </c>
      <c r="G607" s="103">
        <f t="shared" ca="1" si="109"/>
        <v>0.42835894067824443</v>
      </c>
      <c r="H607" s="103">
        <f t="shared" ca="1" si="110"/>
        <v>0.21572078010794529</v>
      </c>
      <c r="I607" s="103" t="e">
        <f t="shared" ca="1" si="111"/>
        <v>#REF!</v>
      </c>
      <c r="J607" s="103" t="e">
        <f t="shared" ca="1" si="112"/>
        <v>#REF!</v>
      </c>
      <c r="K607" s="103" t="e">
        <f t="shared" ca="1" si="113"/>
        <v>#REF!</v>
      </c>
      <c r="L607" s="103" t="e">
        <f t="shared" ca="1" si="114"/>
        <v>#REF!</v>
      </c>
      <c r="M607" s="103" t="e">
        <f t="shared" ca="1" si="115"/>
        <v>#REF!</v>
      </c>
      <c r="N607" s="104" t="e">
        <f t="shared" ca="1" si="116"/>
        <v>#REF!</v>
      </c>
    </row>
    <row r="608" spans="1:14">
      <c r="A608" s="96">
        <v>570</v>
      </c>
      <c r="B608" s="102" t="e">
        <f t="shared" ca="1" si="104"/>
        <v>#REF!</v>
      </c>
      <c r="C608" s="102" t="e">
        <f t="shared" ca="1" si="105"/>
        <v>#REF!</v>
      </c>
      <c r="D608" s="102" t="e">
        <f t="shared" ca="1" si="106"/>
        <v>#REF!</v>
      </c>
      <c r="E608" s="102" t="e">
        <f t="shared" ca="1" si="107"/>
        <v>#REF!</v>
      </c>
      <c r="F608" s="102" t="e">
        <f t="shared" ca="1" si="108"/>
        <v>#REF!</v>
      </c>
      <c r="G608" s="103">
        <f t="shared" ca="1" si="109"/>
        <v>0.44484653294506182</v>
      </c>
      <c r="H608" s="103">
        <f t="shared" ca="1" si="110"/>
        <v>0.21567582502176424</v>
      </c>
      <c r="I608" s="103" t="e">
        <f t="shared" ca="1" si="111"/>
        <v>#REF!</v>
      </c>
      <c r="J608" s="103" t="e">
        <f t="shared" ca="1" si="112"/>
        <v>#REF!</v>
      </c>
      <c r="K608" s="103" t="e">
        <f t="shared" ca="1" si="113"/>
        <v>#REF!</v>
      </c>
      <c r="L608" s="103" t="e">
        <f t="shared" ca="1" si="114"/>
        <v>#REF!</v>
      </c>
      <c r="M608" s="103" t="e">
        <f t="shared" ca="1" si="115"/>
        <v>#REF!</v>
      </c>
      <c r="N608" s="104" t="e">
        <f t="shared" ca="1" si="116"/>
        <v>#REF!</v>
      </c>
    </row>
    <row r="609" spans="1:14">
      <c r="A609" s="95">
        <v>571</v>
      </c>
      <c r="B609" s="102" t="e">
        <f t="shared" ca="1" si="104"/>
        <v>#REF!</v>
      </c>
      <c r="C609" s="102" t="e">
        <f t="shared" ca="1" si="105"/>
        <v>#REF!</v>
      </c>
      <c r="D609" s="102" t="e">
        <f t="shared" ca="1" si="106"/>
        <v>#REF!</v>
      </c>
      <c r="E609" s="102" t="e">
        <f t="shared" ca="1" si="107"/>
        <v>#REF!</v>
      </c>
      <c r="F609" s="102" t="e">
        <f t="shared" ca="1" si="108"/>
        <v>#REF!</v>
      </c>
      <c r="G609" s="103">
        <f t="shared" ca="1" si="109"/>
        <v>0.45649199188859546</v>
      </c>
      <c r="H609" s="103">
        <f t="shared" ca="1" si="110"/>
        <v>0.20437314986463465</v>
      </c>
      <c r="I609" s="103" t="e">
        <f t="shared" ca="1" si="111"/>
        <v>#REF!</v>
      </c>
      <c r="J609" s="103" t="e">
        <f t="shared" ca="1" si="112"/>
        <v>#REF!</v>
      </c>
      <c r="K609" s="103" t="e">
        <f t="shared" ca="1" si="113"/>
        <v>#REF!</v>
      </c>
      <c r="L609" s="103" t="e">
        <f t="shared" ca="1" si="114"/>
        <v>#REF!</v>
      </c>
      <c r="M609" s="103" t="e">
        <f t="shared" ca="1" si="115"/>
        <v>#REF!</v>
      </c>
      <c r="N609" s="104" t="e">
        <f t="shared" ca="1" si="116"/>
        <v>#REF!</v>
      </c>
    </row>
    <row r="610" spans="1:14">
      <c r="A610" s="96">
        <v>572</v>
      </c>
      <c r="B610" s="102" t="e">
        <f t="shared" ca="1" si="104"/>
        <v>#REF!</v>
      </c>
      <c r="C610" s="102" t="e">
        <f t="shared" ca="1" si="105"/>
        <v>#REF!</v>
      </c>
      <c r="D610" s="102" t="e">
        <f t="shared" ca="1" si="106"/>
        <v>#REF!</v>
      </c>
      <c r="E610" s="102" t="e">
        <f t="shared" ca="1" si="107"/>
        <v>#REF!</v>
      </c>
      <c r="F610" s="102" t="e">
        <f t="shared" ca="1" si="108"/>
        <v>#REF!</v>
      </c>
      <c r="G610" s="103">
        <f t="shared" ca="1" si="109"/>
        <v>0.4077359140615518</v>
      </c>
      <c r="H610" s="103">
        <f t="shared" ca="1" si="110"/>
        <v>0.17560964519688915</v>
      </c>
      <c r="I610" s="103" t="e">
        <f t="shared" ca="1" si="111"/>
        <v>#REF!</v>
      </c>
      <c r="J610" s="103" t="e">
        <f t="shared" ca="1" si="112"/>
        <v>#REF!</v>
      </c>
      <c r="K610" s="103" t="e">
        <f t="shared" ca="1" si="113"/>
        <v>#REF!</v>
      </c>
      <c r="L610" s="103" t="e">
        <f t="shared" ca="1" si="114"/>
        <v>#REF!</v>
      </c>
      <c r="M610" s="103" t="e">
        <f t="shared" ca="1" si="115"/>
        <v>#REF!</v>
      </c>
      <c r="N610" s="104" t="e">
        <f t="shared" ca="1" si="116"/>
        <v>#REF!</v>
      </c>
    </row>
    <row r="611" spans="1:14">
      <c r="A611" s="95">
        <v>573</v>
      </c>
      <c r="B611" s="102" t="e">
        <f t="shared" ca="1" si="104"/>
        <v>#REF!</v>
      </c>
      <c r="C611" s="102" t="e">
        <f t="shared" ca="1" si="105"/>
        <v>#REF!</v>
      </c>
      <c r="D611" s="102" t="e">
        <f t="shared" ca="1" si="106"/>
        <v>#REF!</v>
      </c>
      <c r="E611" s="102" t="e">
        <f t="shared" ca="1" si="107"/>
        <v>#REF!</v>
      </c>
      <c r="F611" s="102" t="e">
        <f t="shared" ca="1" si="108"/>
        <v>#REF!</v>
      </c>
      <c r="G611" s="103">
        <f t="shared" ca="1" si="109"/>
        <v>0.43708825531456041</v>
      </c>
      <c r="H611" s="103">
        <f t="shared" ca="1" si="110"/>
        <v>0.1945467602489091</v>
      </c>
      <c r="I611" s="103" t="e">
        <f t="shared" ca="1" si="111"/>
        <v>#REF!</v>
      </c>
      <c r="J611" s="103" t="e">
        <f t="shared" ca="1" si="112"/>
        <v>#REF!</v>
      </c>
      <c r="K611" s="103" t="e">
        <f t="shared" ca="1" si="113"/>
        <v>#REF!</v>
      </c>
      <c r="L611" s="103" t="e">
        <f t="shared" ca="1" si="114"/>
        <v>#REF!</v>
      </c>
      <c r="M611" s="103" t="e">
        <f t="shared" ca="1" si="115"/>
        <v>#REF!</v>
      </c>
      <c r="N611" s="104" t="e">
        <f t="shared" ca="1" si="116"/>
        <v>#REF!</v>
      </c>
    </row>
    <row r="612" spans="1:14">
      <c r="A612" s="96">
        <v>574</v>
      </c>
      <c r="B612" s="102" t="e">
        <f t="shared" ca="1" si="104"/>
        <v>#REF!</v>
      </c>
      <c r="C612" s="102" t="e">
        <f t="shared" ca="1" si="105"/>
        <v>#REF!</v>
      </c>
      <c r="D612" s="102" t="e">
        <f t="shared" ca="1" si="106"/>
        <v>#REF!</v>
      </c>
      <c r="E612" s="102" t="e">
        <f t="shared" ca="1" si="107"/>
        <v>#REF!</v>
      </c>
      <c r="F612" s="102" t="e">
        <f t="shared" ca="1" si="108"/>
        <v>#REF!</v>
      </c>
      <c r="G612" s="103">
        <f t="shared" ca="1" si="109"/>
        <v>0.45797492687624508</v>
      </c>
      <c r="H612" s="103">
        <f t="shared" ca="1" si="110"/>
        <v>0.19850748453466896</v>
      </c>
      <c r="I612" s="103" t="e">
        <f t="shared" ca="1" si="111"/>
        <v>#REF!</v>
      </c>
      <c r="J612" s="103" t="e">
        <f t="shared" ca="1" si="112"/>
        <v>#REF!</v>
      </c>
      <c r="K612" s="103" t="e">
        <f t="shared" ca="1" si="113"/>
        <v>#REF!</v>
      </c>
      <c r="L612" s="103" t="e">
        <f t="shared" ca="1" si="114"/>
        <v>#REF!</v>
      </c>
      <c r="M612" s="103" t="e">
        <f t="shared" ca="1" si="115"/>
        <v>#REF!</v>
      </c>
      <c r="N612" s="104" t="e">
        <f t="shared" ca="1" si="116"/>
        <v>#REF!</v>
      </c>
    </row>
    <row r="613" spans="1:14">
      <c r="A613" s="95">
        <v>575</v>
      </c>
      <c r="B613" s="102" t="e">
        <f t="shared" ca="1" si="104"/>
        <v>#REF!</v>
      </c>
      <c r="C613" s="102" t="e">
        <f t="shared" ca="1" si="105"/>
        <v>#REF!</v>
      </c>
      <c r="D613" s="102" t="e">
        <f t="shared" ca="1" si="106"/>
        <v>#REF!</v>
      </c>
      <c r="E613" s="102" t="e">
        <f t="shared" ca="1" si="107"/>
        <v>#REF!</v>
      </c>
      <c r="F613" s="102" t="e">
        <f t="shared" ca="1" si="108"/>
        <v>#REF!</v>
      </c>
      <c r="G613" s="103">
        <f t="shared" ca="1" si="109"/>
        <v>0.41639761841207862</v>
      </c>
      <c r="H613" s="103">
        <f t="shared" ca="1" si="110"/>
        <v>0.17139354676748392</v>
      </c>
      <c r="I613" s="103" t="e">
        <f t="shared" ca="1" si="111"/>
        <v>#REF!</v>
      </c>
      <c r="J613" s="103" t="e">
        <f t="shared" ca="1" si="112"/>
        <v>#REF!</v>
      </c>
      <c r="K613" s="103" t="e">
        <f t="shared" ca="1" si="113"/>
        <v>#REF!</v>
      </c>
      <c r="L613" s="103" t="e">
        <f t="shared" ca="1" si="114"/>
        <v>#REF!</v>
      </c>
      <c r="M613" s="103" t="e">
        <f t="shared" ca="1" si="115"/>
        <v>#REF!</v>
      </c>
      <c r="N613" s="104" t="e">
        <f t="shared" ca="1" si="116"/>
        <v>#REF!</v>
      </c>
    </row>
    <row r="614" spans="1:14">
      <c r="A614" s="96">
        <v>576</v>
      </c>
      <c r="B614" s="102" t="e">
        <f t="shared" ca="1" si="104"/>
        <v>#REF!</v>
      </c>
      <c r="C614" s="102" t="e">
        <f t="shared" ca="1" si="105"/>
        <v>#REF!</v>
      </c>
      <c r="D614" s="102" t="e">
        <f t="shared" ca="1" si="106"/>
        <v>#REF!</v>
      </c>
      <c r="E614" s="102" t="e">
        <f t="shared" ca="1" si="107"/>
        <v>#REF!</v>
      </c>
      <c r="F614" s="102" t="e">
        <f t="shared" ca="1" si="108"/>
        <v>#REF!</v>
      </c>
      <c r="G614" s="103">
        <f t="shared" ca="1" si="109"/>
        <v>0.46180353187572731</v>
      </c>
      <c r="H614" s="103">
        <f t="shared" ca="1" si="110"/>
        <v>0.22732131860379767</v>
      </c>
      <c r="I614" s="103" t="e">
        <f t="shared" ca="1" si="111"/>
        <v>#REF!</v>
      </c>
      <c r="J614" s="103" t="e">
        <f t="shared" ca="1" si="112"/>
        <v>#REF!</v>
      </c>
      <c r="K614" s="103" t="e">
        <f t="shared" ca="1" si="113"/>
        <v>#REF!</v>
      </c>
      <c r="L614" s="103" t="e">
        <f t="shared" ca="1" si="114"/>
        <v>#REF!</v>
      </c>
      <c r="M614" s="103" t="e">
        <f t="shared" ca="1" si="115"/>
        <v>#REF!</v>
      </c>
      <c r="N614" s="104" t="e">
        <f t="shared" ca="1" si="116"/>
        <v>#REF!</v>
      </c>
    </row>
    <row r="615" spans="1:14">
      <c r="A615" s="95">
        <v>577</v>
      </c>
      <c r="B615" s="102" t="e">
        <f t="shared" ca="1" si="104"/>
        <v>#REF!</v>
      </c>
      <c r="C615" s="102" t="e">
        <f t="shared" ca="1" si="105"/>
        <v>#REF!</v>
      </c>
      <c r="D615" s="102" t="e">
        <f t="shared" ca="1" si="106"/>
        <v>#REF!</v>
      </c>
      <c r="E615" s="102" t="e">
        <f t="shared" ca="1" si="107"/>
        <v>#REF!</v>
      </c>
      <c r="F615" s="102" t="e">
        <f t="shared" ca="1" si="108"/>
        <v>#REF!</v>
      </c>
      <c r="G615" s="103">
        <f t="shared" ca="1" si="109"/>
        <v>0.42953333205704375</v>
      </c>
      <c r="H615" s="103">
        <f t="shared" ca="1" si="110"/>
        <v>0.19002188379898607</v>
      </c>
      <c r="I615" s="103" t="e">
        <f t="shared" ca="1" si="111"/>
        <v>#REF!</v>
      </c>
      <c r="J615" s="103" t="e">
        <f t="shared" ca="1" si="112"/>
        <v>#REF!</v>
      </c>
      <c r="K615" s="103" t="e">
        <f t="shared" ca="1" si="113"/>
        <v>#REF!</v>
      </c>
      <c r="L615" s="103" t="e">
        <f t="shared" ca="1" si="114"/>
        <v>#REF!</v>
      </c>
      <c r="M615" s="103" t="e">
        <f t="shared" ca="1" si="115"/>
        <v>#REF!</v>
      </c>
      <c r="N615" s="104" t="e">
        <f t="shared" ca="1" si="116"/>
        <v>#REF!</v>
      </c>
    </row>
    <row r="616" spans="1:14">
      <c r="A616" s="96">
        <v>578</v>
      </c>
      <c r="B616" s="102" t="e">
        <f t="shared" ref="B616:B679" ca="1" si="117">_xlfn.LOGNORM.INV(RAND(),$D$5,$E$5)</f>
        <v>#REF!</v>
      </c>
      <c r="C616" s="102" t="e">
        <f t="shared" ref="C616:C679" ca="1" si="118">_xlfn.LOGNORM.INV(RAND(),$D$6,$E$6)</f>
        <v>#REF!</v>
      </c>
      <c r="D616" s="102" t="e">
        <f t="shared" ref="D616:D679" ca="1" si="119">_xlfn.LOGNORM.INV(RAND(),$D$7,$E$7)</f>
        <v>#REF!</v>
      </c>
      <c r="E616" s="102" t="e">
        <f t="shared" ref="E616:E679" ca="1" si="120">_xlfn.LOGNORM.INV(RAND(),$D$8,$E$8)</f>
        <v>#REF!</v>
      </c>
      <c r="F616" s="102" t="e">
        <f t="shared" ref="F616:F679" ca="1" si="121">_xlfn.LOGNORM.INV(RAND(),$D$9,$E$9)</f>
        <v>#REF!</v>
      </c>
      <c r="G616" s="103">
        <f t="shared" ref="G616:G679" ca="1" si="122">_xlfn.NORM.INV(RAND(),$B$12,$C$12)</f>
        <v>0.43901282196914937</v>
      </c>
      <c r="H616" s="103">
        <f t="shared" ref="H616:H679" ca="1" si="123">_xlfn.NORM.INV(RAND(),$B$13,$C$13)</f>
        <v>0.17510606094494668</v>
      </c>
      <c r="I616" s="103" t="e">
        <f t="shared" ref="I616:I679" ca="1" si="124">G616*($E$16/24)+H616*(1-$E$16/24)</f>
        <v>#REF!</v>
      </c>
      <c r="J616" s="103" t="e">
        <f t="shared" ref="J616:J679" ca="1" si="125">G616*($E$17/24)+H616*(1-$E$17/24)</f>
        <v>#REF!</v>
      </c>
      <c r="K616" s="103" t="e">
        <f t="shared" ref="K616:K679" ca="1" si="126">G616*($E$18/24)+H616*(1-$E$18/24)</f>
        <v>#REF!</v>
      </c>
      <c r="L616" s="103" t="e">
        <f t="shared" ref="L616:L679" ca="1" si="127">G616*($E$19/24)+H616*(1-$E$19/24)</f>
        <v>#REF!</v>
      </c>
      <c r="M616" s="103" t="e">
        <f t="shared" ref="M616:M679" ca="1" si="128">G616*($E$20/24)+H616*(1-$E$20/24)</f>
        <v>#REF!</v>
      </c>
      <c r="N616" s="104" t="e">
        <f t="shared" ref="N616:N679" ca="1" si="129">B616*$B$16+C616*$B$17+D616*$B$18+E616*$B$19+F616*$B$20-($C$16*$D$16*I616+$C$17*$D$17*J616+$C$18*$D$18*K616+$C$19*$D$19*L616+$C$20*$D$20*M616)</f>
        <v>#REF!</v>
      </c>
    </row>
    <row r="617" spans="1:14">
      <c r="A617" s="95">
        <v>579</v>
      </c>
      <c r="B617" s="102" t="e">
        <f t="shared" ca="1" si="117"/>
        <v>#REF!</v>
      </c>
      <c r="C617" s="102" t="e">
        <f t="shared" ca="1" si="118"/>
        <v>#REF!</v>
      </c>
      <c r="D617" s="102" t="e">
        <f t="shared" ca="1" si="119"/>
        <v>#REF!</v>
      </c>
      <c r="E617" s="102" t="e">
        <f t="shared" ca="1" si="120"/>
        <v>#REF!</v>
      </c>
      <c r="F617" s="102" t="e">
        <f t="shared" ca="1" si="121"/>
        <v>#REF!</v>
      </c>
      <c r="G617" s="103">
        <f t="shared" ca="1" si="122"/>
        <v>0.39281691176512856</v>
      </c>
      <c r="H617" s="103">
        <f t="shared" ca="1" si="123"/>
        <v>0.2063053680074089</v>
      </c>
      <c r="I617" s="103" t="e">
        <f t="shared" ca="1" si="124"/>
        <v>#REF!</v>
      </c>
      <c r="J617" s="103" t="e">
        <f t="shared" ca="1" si="125"/>
        <v>#REF!</v>
      </c>
      <c r="K617" s="103" t="e">
        <f t="shared" ca="1" si="126"/>
        <v>#REF!</v>
      </c>
      <c r="L617" s="103" t="e">
        <f t="shared" ca="1" si="127"/>
        <v>#REF!</v>
      </c>
      <c r="M617" s="103" t="e">
        <f t="shared" ca="1" si="128"/>
        <v>#REF!</v>
      </c>
      <c r="N617" s="104" t="e">
        <f t="shared" ca="1" si="129"/>
        <v>#REF!</v>
      </c>
    </row>
    <row r="618" spans="1:14">
      <c r="A618" s="96">
        <v>580</v>
      </c>
      <c r="B618" s="102" t="e">
        <f t="shared" ca="1" si="117"/>
        <v>#REF!</v>
      </c>
      <c r="C618" s="102" t="e">
        <f t="shared" ca="1" si="118"/>
        <v>#REF!</v>
      </c>
      <c r="D618" s="102" t="e">
        <f t="shared" ca="1" si="119"/>
        <v>#REF!</v>
      </c>
      <c r="E618" s="102" t="e">
        <f t="shared" ca="1" si="120"/>
        <v>#REF!</v>
      </c>
      <c r="F618" s="102" t="e">
        <f t="shared" ca="1" si="121"/>
        <v>#REF!</v>
      </c>
      <c r="G618" s="103">
        <f t="shared" ca="1" si="122"/>
        <v>0.46335322333382273</v>
      </c>
      <c r="H618" s="103">
        <f t="shared" ca="1" si="123"/>
        <v>0.20328509452422749</v>
      </c>
      <c r="I618" s="103" t="e">
        <f t="shared" ca="1" si="124"/>
        <v>#REF!</v>
      </c>
      <c r="J618" s="103" t="e">
        <f t="shared" ca="1" si="125"/>
        <v>#REF!</v>
      </c>
      <c r="K618" s="103" t="e">
        <f t="shared" ca="1" si="126"/>
        <v>#REF!</v>
      </c>
      <c r="L618" s="103" t="e">
        <f t="shared" ca="1" si="127"/>
        <v>#REF!</v>
      </c>
      <c r="M618" s="103" t="e">
        <f t="shared" ca="1" si="128"/>
        <v>#REF!</v>
      </c>
      <c r="N618" s="104" t="e">
        <f t="shared" ca="1" si="129"/>
        <v>#REF!</v>
      </c>
    </row>
    <row r="619" spans="1:14">
      <c r="A619" s="95">
        <v>581</v>
      </c>
      <c r="B619" s="102" t="e">
        <f t="shared" ca="1" si="117"/>
        <v>#REF!</v>
      </c>
      <c r="C619" s="102" t="e">
        <f t="shared" ca="1" si="118"/>
        <v>#REF!</v>
      </c>
      <c r="D619" s="102" t="e">
        <f t="shared" ca="1" si="119"/>
        <v>#REF!</v>
      </c>
      <c r="E619" s="102" t="e">
        <f t="shared" ca="1" si="120"/>
        <v>#REF!</v>
      </c>
      <c r="F619" s="102" t="e">
        <f t="shared" ca="1" si="121"/>
        <v>#REF!</v>
      </c>
      <c r="G619" s="103">
        <f t="shared" ca="1" si="122"/>
        <v>0.40636727852356075</v>
      </c>
      <c r="H619" s="103">
        <f t="shared" ca="1" si="123"/>
        <v>0.18404930670010736</v>
      </c>
      <c r="I619" s="103" t="e">
        <f t="shared" ca="1" si="124"/>
        <v>#REF!</v>
      </c>
      <c r="J619" s="103" t="e">
        <f t="shared" ca="1" si="125"/>
        <v>#REF!</v>
      </c>
      <c r="K619" s="103" t="e">
        <f t="shared" ca="1" si="126"/>
        <v>#REF!</v>
      </c>
      <c r="L619" s="103" t="e">
        <f t="shared" ca="1" si="127"/>
        <v>#REF!</v>
      </c>
      <c r="M619" s="103" t="e">
        <f t="shared" ca="1" si="128"/>
        <v>#REF!</v>
      </c>
      <c r="N619" s="104" t="e">
        <f t="shared" ca="1" si="129"/>
        <v>#REF!</v>
      </c>
    </row>
    <row r="620" spans="1:14">
      <c r="A620" s="96">
        <v>582</v>
      </c>
      <c r="B620" s="102" t="e">
        <f t="shared" ca="1" si="117"/>
        <v>#REF!</v>
      </c>
      <c r="C620" s="102" t="e">
        <f t="shared" ca="1" si="118"/>
        <v>#REF!</v>
      </c>
      <c r="D620" s="102" t="e">
        <f t="shared" ca="1" si="119"/>
        <v>#REF!</v>
      </c>
      <c r="E620" s="102" t="e">
        <f t="shared" ca="1" si="120"/>
        <v>#REF!</v>
      </c>
      <c r="F620" s="102" t="e">
        <f t="shared" ca="1" si="121"/>
        <v>#REF!</v>
      </c>
      <c r="G620" s="103">
        <f t="shared" ca="1" si="122"/>
        <v>0.44597517709780943</v>
      </c>
      <c r="H620" s="103">
        <f t="shared" ca="1" si="123"/>
        <v>0.18946432446429354</v>
      </c>
      <c r="I620" s="103" t="e">
        <f t="shared" ca="1" si="124"/>
        <v>#REF!</v>
      </c>
      <c r="J620" s="103" t="e">
        <f t="shared" ca="1" si="125"/>
        <v>#REF!</v>
      </c>
      <c r="K620" s="103" t="e">
        <f t="shared" ca="1" si="126"/>
        <v>#REF!</v>
      </c>
      <c r="L620" s="103" t="e">
        <f t="shared" ca="1" si="127"/>
        <v>#REF!</v>
      </c>
      <c r="M620" s="103" t="e">
        <f t="shared" ca="1" si="128"/>
        <v>#REF!</v>
      </c>
      <c r="N620" s="104" t="e">
        <f t="shared" ca="1" si="129"/>
        <v>#REF!</v>
      </c>
    </row>
    <row r="621" spans="1:14">
      <c r="A621" s="95">
        <v>583</v>
      </c>
      <c r="B621" s="102" t="e">
        <f t="shared" ca="1" si="117"/>
        <v>#REF!</v>
      </c>
      <c r="C621" s="102" t="e">
        <f t="shared" ca="1" si="118"/>
        <v>#REF!</v>
      </c>
      <c r="D621" s="102" t="e">
        <f t="shared" ca="1" si="119"/>
        <v>#REF!</v>
      </c>
      <c r="E621" s="102" t="e">
        <f t="shared" ca="1" si="120"/>
        <v>#REF!</v>
      </c>
      <c r="F621" s="102" t="e">
        <f t="shared" ca="1" si="121"/>
        <v>#REF!</v>
      </c>
      <c r="G621" s="103">
        <f t="shared" ca="1" si="122"/>
        <v>0.37025340952856894</v>
      </c>
      <c r="H621" s="103">
        <f t="shared" ca="1" si="123"/>
        <v>0.19966001928784649</v>
      </c>
      <c r="I621" s="103" t="e">
        <f t="shared" ca="1" si="124"/>
        <v>#REF!</v>
      </c>
      <c r="J621" s="103" t="e">
        <f t="shared" ca="1" si="125"/>
        <v>#REF!</v>
      </c>
      <c r="K621" s="103" t="e">
        <f t="shared" ca="1" si="126"/>
        <v>#REF!</v>
      </c>
      <c r="L621" s="103" t="e">
        <f t="shared" ca="1" si="127"/>
        <v>#REF!</v>
      </c>
      <c r="M621" s="103" t="e">
        <f t="shared" ca="1" si="128"/>
        <v>#REF!</v>
      </c>
      <c r="N621" s="104" t="e">
        <f t="shared" ca="1" si="129"/>
        <v>#REF!</v>
      </c>
    </row>
    <row r="622" spans="1:14">
      <c r="A622" s="96">
        <v>584</v>
      </c>
      <c r="B622" s="102" t="e">
        <f t="shared" ca="1" si="117"/>
        <v>#REF!</v>
      </c>
      <c r="C622" s="102" t="e">
        <f t="shared" ca="1" si="118"/>
        <v>#REF!</v>
      </c>
      <c r="D622" s="102" t="e">
        <f t="shared" ca="1" si="119"/>
        <v>#REF!</v>
      </c>
      <c r="E622" s="102" t="e">
        <f t="shared" ca="1" si="120"/>
        <v>#REF!</v>
      </c>
      <c r="F622" s="102" t="e">
        <f t="shared" ca="1" si="121"/>
        <v>#REF!</v>
      </c>
      <c r="G622" s="103">
        <f t="shared" ca="1" si="122"/>
        <v>0.45142573283593268</v>
      </c>
      <c r="H622" s="103">
        <f t="shared" ca="1" si="123"/>
        <v>0.20083894940478925</v>
      </c>
      <c r="I622" s="103" t="e">
        <f t="shared" ca="1" si="124"/>
        <v>#REF!</v>
      </c>
      <c r="J622" s="103" t="e">
        <f t="shared" ca="1" si="125"/>
        <v>#REF!</v>
      </c>
      <c r="K622" s="103" t="e">
        <f t="shared" ca="1" si="126"/>
        <v>#REF!</v>
      </c>
      <c r="L622" s="103" t="e">
        <f t="shared" ca="1" si="127"/>
        <v>#REF!</v>
      </c>
      <c r="M622" s="103" t="e">
        <f t="shared" ca="1" si="128"/>
        <v>#REF!</v>
      </c>
      <c r="N622" s="104" t="e">
        <f t="shared" ca="1" si="129"/>
        <v>#REF!</v>
      </c>
    </row>
    <row r="623" spans="1:14">
      <c r="A623" s="95">
        <v>585</v>
      </c>
      <c r="B623" s="102" t="e">
        <f t="shared" ca="1" si="117"/>
        <v>#REF!</v>
      </c>
      <c r="C623" s="102" t="e">
        <f t="shared" ca="1" si="118"/>
        <v>#REF!</v>
      </c>
      <c r="D623" s="102" t="e">
        <f t="shared" ca="1" si="119"/>
        <v>#REF!</v>
      </c>
      <c r="E623" s="102" t="e">
        <f t="shared" ca="1" si="120"/>
        <v>#REF!</v>
      </c>
      <c r="F623" s="102" t="e">
        <f t="shared" ca="1" si="121"/>
        <v>#REF!</v>
      </c>
      <c r="G623" s="103">
        <f t="shared" ca="1" si="122"/>
        <v>0.47450574378672095</v>
      </c>
      <c r="H623" s="103">
        <f t="shared" ca="1" si="123"/>
        <v>0.23153603138004236</v>
      </c>
      <c r="I623" s="103" t="e">
        <f t="shared" ca="1" si="124"/>
        <v>#REF!</v>
      </c>
      <c r="J623" s="103" t="e">
        <f t="shared" ca="1" si="125"/>
        <v>#REF!</v>
      </c>
      <c r="K623" s="103" t="e">
        <f t="shared" ca="1" si="126"/>
        <v>#REF!</v>
      </c>
      <c r="L623" s="103" t="e">
        <f t="shared" ca="1" si="127"/>
        <v>#REF!</v>
      </c>
      <c r="M623" s="103" t="e">
        <f t="shared" ca="1" si="128"/>
        <v>#REF!</v>
      </c>
      <c r="N623" s="104" t="e">
        <f t="shared" ca="1" si="129"/>
        <v>#REF!</v>
      </c>
    </row>
    <row r="624" spans="1:14">
      <c r="A624" s="96">
        <v>586</v>
      </c>
      <c r="B624" s="102" t="e">
        <f t="shared" ca="1" si="117"/>
        <v>#REF!</v>
      </c>
      <c r="C624" s="102" t="e">
        <f t="shared" ca="1" si="118"/>
        <v>#REF!</v>
      </c>
      <c r="D624" s="102" t="e">
        <f t="shared" ca="1" si="119"/>
        <v>#REF!</v>
      </c>
      <c r="E624" s="102" t="e">
        <f t="shared" ca="1" si="120"/>
        <v>#REF!</v>
      </c>
      <c r="F624" s="102" t="e">
        <f t="shared" ca="1" si="121"/>
        <v>#REF!</v>
      </c>
      <c r="G624" s="103">
        <f t="shared" ca="1" si="122"/>
        <v>0.4549937606006999</v>
      </c>
      <c r="H624" s="103">
        <f t="shared" ca="1" si="123"/>
        <v>0.2143027561980691</v>
      </c>
      <c r="I624" s="103" t="e">
        <f t="shared" ca="1" si="124"/>
        <v>#REF!</v>
      </c>
      <c r="J624" s="103" t="e">
        <f t="shared" ca="1" si="125"/>
        <v>#REF!</v>
      </c>
      <c r="K624" s="103" t="e">
        <f t="shared" ca="1" si="126"/>
        <v>#REF!</v>
      </c>
      <c r="L624" s="103" t="e">
        <f t="shared" ca="1" si="127"/>
        <v>#REF!</v>
      </c>
      <c r="M624" s="103" t="e">
        <f t="shared" ca="1" si="128"/>
        <v>#REF!</v>
      </c>
      <c r="N624" s="104" t="e">
        <f t="shared" ca="1" si="129"/>
        <v>#REF!</v>
      </c>
    </row>
    <row r="625" spans="1:14">
      <c r="A625" s="95">
        <v>587</v>
      </c>
      <c r="B625" s="102" t="e">
        <f t="shared" ca="1" si="117"/>
        <v>#REF!</v>
      </c>
      <c r="C625" s="102" t="e">
        <f t="shared" ca="1" si="118"/>
        <v>#REF!</v>
      </c>
      <c r="D625" s="102" t="e">
        <f t="shared" ca="1" si="119"/>
        <v>#REF!</v>
      </c>
      <c r="E625" s="102" t="e">
        <f t="shared" ca="1" si="120"/>
        <v>#REF!</v>
      </c>
      <c r="F625" s="102" t="e">
        <f t="shared" ca="1" si="121"/>
        <v>#REF!</v>
      </c>
      <c r="G625" s="103">
        <f t="shared" ca="1" si="122"/>
        <v>0.41590251910677639</v>
      </c>
      <c r="H625" s="103">
        <f t="shared" ca="1" si="123"/>
        <v>0.2102118410449007</v>
      </c>
      <c r="I625" s="103" t="e">
        <f t="shared" ca="1" si="124"/>
        <v>#REF!</v>
      </c>
      <c r="J625" s="103" t="e">
        <f t="shared" ca="1" si="125"/>
        <v>#REF!</v>
      </c>
      <c r="K625" s="103" t="e">
        <f t="shared" ca="1" si="126"/>
        <v>#REF!</v>
      </c>
      <c r="L625" s="103" t="e">
        <f t="shared" ca="1" si="127"/>
        <v>#REF!</v>
      </c>
      <c r="M625" s="103" t="e">
        <f t="shared" ca="1" si="128"/>
        <v>#REF!</v>
      </c>
      <c r="N625" s="104" t="e">
        <f t="shared" ca="1" si="129"/>
        <v>#REF!</v>
      </c>
    </row>
    <row r="626" spans="1:14">
      <c r="A626" s="96">
        <v>588</v>
      </c>
      <c r="B626" s="102" t="e">
        <f t="shared" ca="1" si="117"/>
        <v>#REF!</v>
      </c>
      <c r="C626" s="102" t="e">
        <f t="shared" ca="1" si="118"/>
        <v>#REF!</v>
      </c>
      <c r="D626" s="102" t="e">
        <f t="shared" ca="1" si="119"/>
        <v>#REF!</v>
      </c>
      <c r="E626" s="102" t="e">
        <f t="shared" ca="1" si="120"/>
        <v>#REF!</v>
      </c>
      <c r="F626" s="102" t="e">
        <f t="shared" ca="1" si="121"/>
        <v>#REF!</v>
      </c>
      <c r="G626" s="103">
        <f t="shared" ca="1" si="122"/>
        <v>0.47303256838313745</v>
      </c>
      <c r="H626" s="103">
        <f t="shared" ca="1" si="123"/>
        <v>0.18396475885416702</v>
      </c>
      <c r="I626" s="103" t="e">
        <f t="shared" ca="1" si="124"/>
        <v>#REF!</v>
      </c>
      <c r="J626" s="103" t="e">
        <f t="shared" ca="1" si="125"/>
        <v>#REF!</v>
      </c>
      <c r="K626" s="103" t="e">
        <f t="shared" ca="1" si="126"/>
        <v>#REF!</v>
      </c>
      <c r="L626" s="103" t="e">
        <f t="shared" ca="1" si="127"/>
        <v>#REF!</v>
      </c>
      <c r="M626" s="103" t="e">
        <f t="shared" ca="1" si="128"/>
        <v>#REF!</v>
      </c>
      <c r="N626" s="104" t="e">
        <f t="shared" ca="1" si="129"/>
        <v>#REF!</v>
      </c>
    </row>
    <row r="627" spans="1:14">
      <c r="A627" s="95">
        <v>589</v>
      </c>
      <c r="B627" s="102" t="e">
        <f t="shared" ca="1" si="117"/>
        <v>#REF!</v>
      </c>
      <c r="C627" s="102" t="e">
        <f t="shared" ca="1" si="118"/>
        <v>#REF!</v>
      </c>
      <c r="D627" s="102" t="e">
        <f t="shared" ca="1" si="119"/>
        <v>#REF!</v>
      </c>
      <c r="E627" s="102" t="e">
        <f t="shared" ca="1" si="120"/>
        <v>#REF!</v>
      </c>
      <c r="F627" s="102" t="e">
        <f t="shared" ca="1" si="121"/>
        <v>#REF!</v>
      </c>
      <c r="G627" s="103">
        <f t="shared" ca="1" si="122"/>
        <v>0.44171572614245552</v>
      </c>
      <c r="H627" s="103">
        <f t="shared" ca="1" si="123"/>
        <v>0.17414685022421786</v>
      </c>
      <c r="I627" s="103" t="e">
        <f t="shared" ca="1" si="124"/>
        <v>#REF!</v>
      </c>
      <c r="J627" s="103" t="e">
        <f t="shared" ca="1" si="125"/>
        <v>#REF!</v>
      </c>
      <c r="K627" s="103" t="e">
        <f t="shared" ca="1" si="126"/>
        <v>#REF!</v>
      </c>
      <c r="L627" s="103" t="e">
        <f t="shared" ca="1" si="127"/>
        <v>#REF!</v>
      </c>
      <c r="M627" s="103" t="e">
        <f t="shared" ca="1" si="128"/>
        <v>#REF!</v>
      </c>
      <c r="N627" s="104" t="e">
        <f t="shared" ca="1" si="129"/>
        <v>#REF!</v>
      </c>
    </row>
    <row r="628" spans="1:14">
      <c r="A628" s="96">
        <v>590</v>
      </c>
      <c r="B628" s="102" t="e">
        <f t="shared" ca="1" si="117"/>
        <v>#REF!</v>
      </c>
      <c r="C628" s="102" t="e">
        <f t="shared" ca="1" si="118"/>
        <v>#REF!</v>
      </c>
      <c r="D628" s="102" t="e">
        <f t="shared" ca="1" si="119"/>
        <v>#REF!</v>
      </c>
      <c r="E628" s="102" t="e">
        <f t="shared" ca="1" si="120"/>
        <v>#REF!</v>
      </c>
      <c r="F628" s="102" t="e">
        <f t="shared" ca="1" si="121"/>
        <v>#REF!</v>
      </c>
      <c r="G628" s="103">
        <f t="shared" ca="1" si="122"/>
        <v>0.43104581248971663</v>
      </c>
      <c r="H628" s="103">
        <f t="shared" ca="1" si="123"/>
        <v>0.19146157290411914</v>
      </c>
      <c r="I628" s="103" t="e">
        <f t="shared" ca="1" si="124"/>
        <v>#REF!</v>
      </c>
      <c r="J628" s="103" t="e">
        <f t="shared" ca="1" si="125"/>
        <v>#REF!</v>
      </c>
      <c r="K628" s="103" t="e">
        <f t="shared" ca="1" si="126"/>
        <v>#REF!</v>
      </c>
      <c r="L628" s="103" t="e">
        <f t="shared" ca="1" si="127"/>
        <v>#REF!</v>
      </c>
      <c r="M628" s="103" t="e">
        <f t="shared" ca="1" si="128"/>
        <v>#REF!</v>
      </c>
      <c r="N628" s="104" t="e">
        <f t="shared" ca="1" si="129"/>
        <v>#REF!</v>
      </c>
    </row>
    <row r="629" spans="1:14">
      <c r="A629" s="95">
        <v>591</v>
      </c>
      <c r="B629" s="102" t="e">
        <f t="shared" ca="1" si="117"/>
        <v>#REF!</v>
      </c>
      <c r="C629" s="102" t="e">
        <f t="shared" ca="1" si="118"/>
        <v>#REF!</v>
      </c>
      <c r="D629" s="102" t="e">
        <f t="shared" ca="1" si="119"/>
        <v>#REF!</v>
      </c>
      <c r="E629" s="102" t="e">
        <f t="shared" ca="1" si="120"/>
        <v>#REF!</v>
      </c>
      <c r="F629" s="102" t="e">
        <f t="shared" ca="1" si="121"/>
        <v>#REF!</v>
      </c>
      <c r="G629" s="103">
        <f t="shared" ca="1" si="122"/>
        <v>0.41687771946068025</v>
      </c>
      <c r="H629" s="103">
        <f t="shared" ca="1" si="123"/>
        <v>0.21361848352774429</v>
      </c>
      <c r="I629" s="103" t="e">
        <f t="shared" ca="1" si="124"/>
        <v>#REF!</v>
      </c>
      <c r="J629" s="103" t="e">
        <f t="shared" ca="1" si="125"/>
        <v>#REF!</v>
      </c>
      <c r="K629" s="103" t="e">
        <f t="shared" ca="1" si="126"/>
        <v>#REF!</v>
      </c>
      <c r="L629" s="103" t="e">
        <f t="shared" ca="1" si="127"/>
        <v>#REF!</v>
      </c>
      <c r="M629" s="103" t="e">
        <f t="shared" ca="1" si="128"/>
        <v>#REF!</v>
      </c>
      <c r="N629" s="104" t="e">
        <f t="shared" ca="1" si="129"/>
        <v>#REF!</v>
      </c>
    </row>
    <row r="630" spans="1:14">
      <c r="A630" s="96">
        <v>592</v>
      </c>
      <c r="B630" s="102" t="e">
        <f t="shared" ca="1" si="117"/>
        <v>#REF!</v>
      </c>
      <c r="C630" s="102" t="e">
        <f t="shared" ca="1" si="118"/>
        <v>#REF!</v>
      </c>
      <c r="D630" s="102" t="e">
        <f t="shared" ca="1" si="119"/>
        <v>#REF!</v>
      </c>
      <c r="E630" s="102" t="e">
        <f t="shared" ca="1" si="120"/>
        <v>#REF!</v>
      </c>
      <c r="F630" s="102" t="e">
        <f t="shared" ca="1" si="121"/>
        <v>#REF!</v>
      </c>
      <c r="G630" s="103">
        <f t="shared" ca="1" si="122"/>
        <v>0.45053945799507267</v>
      </c>
      <c r="H630" s="103">
        <f t="shared" ca="1" si="123"/>
        <v>0.22369806154012031</v>
      </c>
      <c r="I630" s="103" t="e">
        <f t="shared" ca="1" si="124"/>
        <v>#REF!</v>
      </c>
      <c r="J630" s="103" t="e">
        <f t="shared" ca="1" si="125"/>
        <v>#REF!</v>
      </c>
      <c r="K630" s="103" t="e">
        <f t="shared" ca="1" si="126"/>
        <v>#REF!</v>
      </c>
      <c r="L630" s="103" t="e">
        <f t="shared" ca="1" si="127"/>
        <v>#REF!</v>
      </c>
      <c r="M630" s="103" t="e">
        <f t="shared" ca="1" si="128"/>
        <v>#REF!</v>
      </c>
      <c r="N630" s="104" t="e">
        <f t="shared" ca="1" si="129"/>
        <v>#REF!</v>
      </c>
    </row>
    <row r="631" spans="1:14">
      <c r="A631" s="95">
        <v>593</v>
      </c>
      <c r="B631" s="102" t="e">
        <f t="shared" ca="1" si="117"/>
        <v>#REF!</v>
      </c>
      <c r="C631" s="102" t="e">
        <f t="shared" ca="1" si="118"/>
        <v>#REF!</v>
      </c>
      <c r="D631" s="102" t="e">
        <f t="shared" ca="1" si="119"/>
        <v>#REF!</v>
      </c>
      <c r="E631" s="102" t="e">
        <f t="shared" ca="1" si="120"/>
        <v>#REF!</v>
      </c>
      <c r="F631" s="102" t="e">
        <f t="shared" ca="1" si="121"/>
        <v>#REF!</v>
      </c>
      <c r="G631" s="103">
        <f t="shared" ca="1" si="122"/>
        <v>0.42349669241565002</v>
      </c>
      <c r="H631" s="103">
        <f t="shared" ca="1" si="123"/>
        <v>0.20095371006782428</v>
      </c>
      <c r="I631" s="103" t="e">
        <f t="shared" ca="1" si="124"/>
        <v>#REF!</v>
      </c>
      <c r="J631" s="103" t="e">
        <f t="shared" ca="1" si="125"/>
        <v>#REF!</v>
      </c>
      <c r="K631" s="103" t="e">
        <f t="shared" ca="1" si="126"/>
        <v>#REF!</v>
      </c>
      <c r="L631" s="103" t="e">
        <f t="shared" ca="1" si="127"/>
        <v>#REF!</v>
      </c>
      <c r="M631" s="103" t="e">
        <f t="shared" ca="1" si="128"/>
        <v>#REF!</v>
      </c>
      <c r="N631" s="104" t="e">
        <f t="shared" ca="1" si="129"/>
        <v>#REF!</v>
      </c>
    </row>
    <row r="632" spans="1:14">
      <c r="A632" s="96">
        <v>594</v>
      </c>
      <c r="B632" s="102" t="e">
        <f t="shared" ca="1" si="117"/>
        <v>#REF!</v>
      </c>
      <c r="C632" s="102" t="e">
        <f t="shared" ca="1" si="118"/>
        <v>#REF!</v>
      </c>
      <c r="D632" s="102" t="e">
        <f t="shared" ca="1" si="119"/>
        <v>#REF!</v>
      </c>
      <c r="E632" s="102" t="e">
        <f t="shared" ca="1" si="120"/>
        <v>#REF!</v>
      </c>
      <c r="F632" s="102" t="e">
        <f t="shared" ca="1" si="121"/>
        <v>#REF!</v>
      </c>
      <c r="G632" s="103">
        <f t="shared" ca="1" si="122"/>
        <v>0.42671635346238579</v>
      </c>
      <c r="H632" s="103">
        <f t="shared" ca="1" si="123"/>
        <v>0.19742442626100554</v>
      </c>
      <c r="I632" s="103" t="e">
        <f t="shared" ca="1" si="124"/>
        <v>#REF!</v>
      </c>
      <c r="J632" s="103" t="e">
        <f t="shared" ca="1" si="125"/>
        <v>#REF!</v>
      </c>
      <c r="K632" s="103" t="e">
        <f t="shared" ca="1" si="126"/>
        <v>#REF!</v>
      </c>
      <c r="L632" s="103" t="e">
        <f t="shared" ca="1" si="127"/>
        <v>#REF!</v>
      </c>
      <c r="M632" s="103" t="e">
        <f t="shared" ca="1" si="128"/>
        <v>#REF!</v>
      </c>
      <c r="N632" s="104" t="e">
        <f t="shared" ca="1" si="129"/>
        <v>#REF!</v>
      </c>
    </row>
    <row r="633" spans="1:14">
      <c r="A633" s="95">
        <v>595</v>
      </c>
      <c r="B633" s="102" t="e">
        <f t="shared" ca="1" si="117"/>
        <v>#REF!</v>
      </c>
      <c r="C633" s="102" t="e">
        <f t="shared" ca="1" si="118"/>
        <v>#REF!</v>
      </c>
      <c r="D633" s="102" t="e">
        <f t="shared" ca="1" si="119"/>
        <v>#REF!</v>
      </c>
      <c r="E633" s="102" t="e">
        <f t="shared" ca="1" si="120"/>
        <v>#REF!</v>
      </c>
      <c r="F633" s="102" t="e">
        <f t="shared" ca="1" si="121"/>
        <v>#REF!</v>
      </c>
      <c r="G633" s="103">
        <f t="shared" ca="1" si="122"/>
        <v>0.4108615613652688</v>
      </c>
      <c r="H633" s="103">
        <f t="shared" ca="1" si="123"/>
        <v>0.1947322773691606</v>
      </c>
      <c r="I633" s="103" t="e">
        <f t="shared" ca="1" si="124"/>
        <v>#REF!</v>
      </c>
      <c r="J633" s="103" t="e">
        <f t="shared" ca="1" si="125"/>
        <v>#REF!</v>
      </c>
      <c r="K633" s="103" t="e">
        <f t="shared" ca="1" si="126"/>
        <v>#REF!</v>
      </c>
      <c r="L633" s="103" t="e">
        <f t="shared" ca="1" si="127"/>
        <v>#REF!</v>
      </c>
      <c r="M633" s="103" t="e">
        <f t="shared" ca="1" si="128"/>
        <v>#REF!</v>
      </c>
      <c r="N633" s="104" t="e">
        <f t="shared" ca="1" si="129"/>
        <v>#REF!</v>
      </c>
    </row>
    <row r="634" spans="1:14">
      <c r="A634" s="96">
        <v>596</v>
      </c>
      <c r="B634" s="102" t="e">
        <f t="shared" ca="1" si="117"/>
        <v>#REF!</v>
      </c>
      <c r="C634" s="102" t="e">
        <f t="shared" ca="1" si="118"/>
        <v>#REF!</v>
      </c>
      <c r="D634" s="102" t="e">
        <f t="shared" ca="1" si="119"/>
        <v>#REF!</v>
      </c>
      <c r="E634" s="102" t="e">
        <f t="shared" ca="1" si="120"/>
        <v>#REF!</v>
      </c>
      <c r="F634" s="102" t="e">
        <f t="shared" ca="1" si="121"/>
        <v>#REF!</v>
      </c>
      <c r="G634" s="103">
        <f t="shared" ca="1" si="122"/>
        <v>0.45299412719727983</v>
      </c>
      <c r="H634" s="103">
        <f t="shared" ca="1" si="123"/>
        <v>0.18272369916540249</v>
      </c>
      <c r="I634" s="103" t="e">
        <f t="shared" ca="1" si="124"/>
        <v>#REF!</v>
      </c>
      <c r="J634" s="103" t="e">
        <f t="shared" ca="1" si="125"/>
        <v>#REF!</v>
      </c>
      <c r="K634" s="103" t="e">
        <f t="shared" ca="1" si="126"/>
        <v>#REF!</v>
      </c>
      <c r="L634" s="103" t="e">
        <f t="shared" ca="1" si="127"/>
        <v>#REF!</v>
      </c>
      <c r="M634" s="103" t="e">
        <f t="shared" ca="1" si="128"/>
        <v>#REF!</v>
      </c>
      <c r="N634" s="104" t="e">
        <f t="shared" ca="1" si="129"/>
        <v>#REF!</v>
      </c>
    </row>
    <row r="635" spans="1:14">
      <c r="A635" s="95">
        <v>597</v>
      </c>
      <c r="B635" s="102" t="e">
        <f t="shared" ca="1" si="117"/>
        <v>#REF!</v>
      </c>
      <c r="C635" s="102" t="e">
        <f t="shared" ca="1" si="118"/>
        <v>#REF!</v>
      </c>
      <c r="D635" s="102" t="e">
        <f t="shared" ca="1" si="119"/>
        <v>#REF!</v>
      </c>
      <c r="E635" s="102" t="e">
        <f t="shared" ca="1" si="120"/>
        <v>#REF!</v>
      </c>
      <c r="F635" s="102" t="e">
        <f t="shared" ca="1" si="121"/>
        <v>#REF!</v>
      </c>
      <c r="G635" s="103">
        <f t="shared" ca="1" si="122"/>
        <v>0.42554592815577219</v>
      </c>
      <c r="H635" s="103">
        <f t="shared" ca="1" si="123"/>
        <v>0.20021261093257242</v>
      </c>
      <c r="I635" s="103" t="e">
        <f t="shared" ca="1" si="124"/>
        <v>#REF!</v>
      </c>
      <c r="J635" s="103" t="e">
        <f t="shared" ca="1" si="125"/>
        <v>#REF!</v>
      </c>
      <c r="K635" s="103" t="e">
        <f t="shared" ca="1" si="126"/>
        <v>#REF!</v>
      </c>
      <c r="L635" s="103" t="e">
        <f t="shared" ca="1" si="127"/>
        <v>#REF!</v>
      </c>
      <c r="M635" s="103" t="e">
        <f t="shared" ca="1" si="128"/>
        <v>#REF!</v>
      </c>
      <c r="N635" s="104" t="e">
        <f t="shared" ca="1" si="129"/>
        <v>#REF!</v>
      </c>
    </row>
    <row r="636" spans="1:14">
      <c r="A636" s="96">
        <v>598</v>
      </c>
      <c r="B636" s="102" t="e">
        <f t="shared" ca="1" si="117"/>
        <v>#REF!</v>
      </c>
      <c r="C636" s="102" t="e">
        <f t="shared" ca="1" si="118"/>
        <v>#REF!</v>
      </c>
      <c r="D636" s="102" t="e">
        <f t="shared" ca="1" si="119"/>
        <v>#REF!</v>
      </c>
      <c r="E636" s="102" t="e">
        <f t="shared" ca="1" si="120"/>
        <v>#REF!</v>
      </c>
      <c r="F636" s="102" t="e">
        <f t="shared" ca="1" si="121"/>
        <v>#REF!</v>
      </c>
      <c r="G636" s="103">
        <f t="shared" ca="1" si="122"/>
        <v>0.43426428037706627</v>
      </c>
      <c r="H636" s="103">
        <f t="shared" ca="1" si="123"/>
        <v>0.20397571279051624</v>
      </c>
      <c r="I636" s="103" t="e">
        <f t="shared" ca="1" si="124"/>
        <v>#REF!</v>
      </c>
      <c r="J636" s="103" t="e">
        <f t="shared" ca="1" si="125"/>
        <v>#REF!</v>
      </c>
      <c r="K636" s="103" t="e">
        <f t="shared" ca="1" si="126"/>
        <v>#REF!</v>
      </c>
      <c r="L636" s="103" t="e">
        <f t="shared" ca="1" si="127"/>
        <v>#REF!</v>
      </c>
      <c r="M636" s="103" t="e">
        <f t="shared" ca="1" si="128"/>
        <v>#REF!</v>
      </c>
      <c r="N636" s="104" t="e">
        <f t="shared" ca="1" si="129"/>
        <v>#REF!</v>
      </c>
    </row>
    <row r="637" spans="1:14">
      <c r="A637" s="95">
        <v>599</v>
      </c>
      <c r="B637" s="102" t="e">
        <f t="shared" ca="1" si="117"/>
        <v>#REF!</v>
      </c>
      <c r="C637" s="102" t="e">
        <f t="shared" ca="1" si="118"/>
        <v>#REF!</v>
      </c>
      <c r="D637" s="102" t="e">
        <f t="shared" ca="1" si="119"/>
        <v>#REF!</v>
      </c>
      <c r="E637" s="102" t="e">
        <f t="shared" ca="1" si="120"/>
        <v>#REF!</v>
      </c>
      <c r="F637" s="102" t="e">
        <f t="shared" ca="1" si="121"/>
        <v>#REF!</v>
      </c>
      <c r="G637" s="103">
        <f t="shared" ca="1" si="122"/>
        <v>0.47182306159392035</v>
      </c>
      <c r="H637" s="103">
        <f t="shared" ca="1" si="123"/>
        <v>0.18947823637709826</v>
      </c>
      <c r="I637" s="103" t="e">
        <f t="shared" ca="1" si="124"/>
        <v>#REF!</v>
      </c>
      <c r="J637" s="103" t="e">
        <f t="shared" ca="1" si="125"/>
        <v>#REF!</v>
      </c>
      <c r="K637" s="103" t="e">
        <f t="shared" ca="1" si="126"/>
        <v>#REF!</v>
      </c>
      <c r="L637" s="103" t="e">
        <f t="shared" ca="1" si="127"/>
        <v>#REF!</v>
      </c>
      <c r="M637" s="103" t="e">
        <f t="shared" ca="1" si="128"/>
        <v>#REF!</v>
      </c>
      <c r="N637" s="104" t="e">
        <f t="shared" ca="1" si="129"/>
        <v>#REF!</v>
      </c>
    </row>
    <row r="638" spans="1:14">
      <c r="A638" s="96">
        <v>600</v>
      </c>
      <c r="B638" s="102" t="e">
        <f t="shared" ca="1" si="117"/>
        <v>#REF!</v>
      </c>
      <c r="C638" s="102" t="e">
        <f t="shared" ca="1" si="118"/>
        <v>#REF!</v>
      </c>
      <c r="D638" s="102" t="e">
        <f t="shared" ca="1" si="119"/>
        <v>#REF!</v>
      </c>
      <c r="E638" s="102" t="e">
        <f t="shared" ca="1" si="120"/>
        <v>#REF!</v>
      </c>
      <c r="F638" s="102" t="e">
        <f t="shared" ca="1" si="121"/>
        <v>#REF!</v>
      </c>
      <c r="G638" s="103">
        <f t="shared" ca="1" si="122"/>
        <v>0.46949167548804616</v>
      </c>
      <c r="H638" s="103">
        <f t="shared" ca="1" si="123"/>
        <v>0.21043293184566747</v>
      </c>
      <c r="I638" s="103" t="e">
        <f t="shared" ca="1" si="124"/>
        <v>#REF!</v>
      </c>
      <c r="J638" s="103" t="e">
        <f t="shared" ca="1" si="125"/>
        <v>#REF!</v>
      </c>
      <c r="K638" s="103" t="e">
        <f t="shared" ca="1" si="126"/>
        <v>#REF!</v>
      </c>
      <c r="L638" s="103" t="e">
        <f t="shared" ca="1" si="127"/>
        <v>#REF!</v>
      </c>
      <c r="M638" s="103" t="e">
        <f t="shared" ca="1" si="128"/>
        <v>#REF!</v>
      </c>
      <c r="N638" s="104" t="e">
        <f t="shared" ca="1" si="129"/>
        <v>#REF!</v>
      </c>
    </row>
    <row r="639" spans="1:14">
      <c r="A639" s="95">
        <v>601</v>
      </c>
      <c r="B639" s="102" t="e">
        <f t="shared" ca="1" si="117"/>
        <v>#REF!</v>
      </c>
      <c r="C639" s="102" t="e">
        <f t="shared" ca="1" si="118"/>
        <v>#REF!</v>
      </c>
      <c r="D639" s="102" t="e">
        <f t="shared" ca="1" si="119"/>
        <v>#REF!</v>
      </c>
      <c r="E639" s="102" t="e">
        <f t="shared" ca="1" si="120"/>
        <v>#REF!</v>
      </c>
      <c r="F639" s="102" t="e">
        <f t="shared" ca="1" si="121"/>
        <v>#REF!</v>
      </c>
      <c r="G639" s="103">
        <f t="shared" ca="1" si="122"/>
        <v>0.43493451738919114</v>
      </c>
      <c r="H639" s="103">
        <f t="shared" ca="1" si="123"/>
        <v>0.18785729042060972</v>
      </c>
      <c r="I639" s="103" t="e">
        <f t="shared" ca="1" si="124"/>
        <v>#REF!</v>
      </c>
      <c r="J639" s="103" t="e">
        <f t="shared" ca="1" si="125"/>
        <v>#REF!</v>
      </c>
      <c r="K639" s="103" t="e">
        <f t="shared" ca="1" si="126"/>
        <v>#REF!</v>
      </c>
      <c r="L639" s="103" t="e">
        <f t="shared" ca="1" si="127"/>
        <v>#REF!</v>
      </c>
      <c r="M639" s="103" t="e">
        <f t="shared" ca="1" si="128"/>
        <v>#REF!</v>
      </c>
      <c r="N639" s="104" t="e">
        <f t="shared" ca="1" si="129"/>
        <v>#REF!</v>
      </c>
    </row>
    <row r="640" spans="1:14">
      <c r="A640" s="96">
        <v>602</v>
      </c>
      <c r="B640" s="102" t="e">
        <f t="shared" ca="1" si="117"/>
        <v>#REF!</v>
      </c>
      <c r="C640" s="102" t="e">
        <f t="shared" ca="1" si="118"/>
        <v>#REF!</v>
      </c>
      <c r="D640" s="102" t="e">
        <f t="shared" ca="1" si="119"/>
        <v>#REF!</v>
      </c>
      <c r="E640" s="102" t="e">
        <f t="shared" ca="1" si="120"/>
        <v>#REF!</v>
      </c>
      <c r="F640" s="102" t="e">
        <f t="shared" ca="1" si="121"/>
        <v>#REF!</v>
      </c>
      <c r="G640" s="103">
        <f t="shared" ca="1" si="122"/>
        <v>0.46242861077666308</v>
      </c>
      <c r="H640" s="103">
        <f t="shared" ca="1" si="123"/>
        <v>0.20431904504036347</v>
      </c>
      <c r="I640" s="103" t="e">
        <f t="shared" ca="1" si="124"/>
        <v>#REF!</v>
      </c>
      <c r="J640" s="103" t="e">
        <f t="shared" ca="1" si="125"/>
        <v>#REF!</v>
      </c>
      <c r="K640" s="103" t="e">
        <f t="shared" ca="1" si="126"/>
        <v>#REF!</v>
      </c>
      <c r="L640" s="103" t="e">
        <f t="shared" ca="1" si="127"/>
        <v>#REF!</v>
      </c>
      <c r="M640" s="103" t="e">
        <f t="shared" ca="1" si="128"/>
        <v>#REF!</v>
      </c>
      <c r="N640" s="104" t="e">
        <f t="shared" ca="1" si="129"/>
        <v>#REF!</v>
      </c>
    </row>
    <row r="641" spans="1:14">
      <c r="A641" s="95">
        <v>603</v>
      </c>
      <c r="B641" s="102" t="e">
        <f t="shared" ca="1" si="117"/>
        <v>#REF!</v>
      </c>
      <c r="C641" s="102" t="e">
        <f t="shared" ca="1" si="118"/>
        <v>#REF!</v>
      </c>
      <c r="D641" s="102" t="e">
        <f t="shared" ca="1" si="119"/>
        <v>#REF!</v>
      </c>
      <c r="E641" s="102" t="e">
        <f t="shared" ca="1" si="120"/>
        <v>#REF!</v>
      </c>
      <c r="F641" s="102" t="e">
        <f t="shared" ca="1" si="121"/>
        <v>#REF!</v>
      </c>
      <c r="G641" s="103">
        <f t="shared" ca="1" si="122"/>
        <v>0.435466601828778</v>
      </c>
      <c r="H641" s="103">
        <f t="shared" ca="1" si="123"/>
        <v>0.2046605309279422</v>
      </c>
      <c r="I641" s="103" t="e">
        <f t="shared" ca="1" si="124"/>
        <v>#REF!</v>
      </c>
      <c r="J641" s="103" t="e">
        <f t="shared" ca="1" si="125"/>
        <v>#REF!</v>
      </c>
      <c r="K641" s="103" t="e">
        <f t="shared" ca="1" si="126"/>
        <v>#REF!</v>
      </c>
      <c r="L641" s="103" t="e">
        <f t="shared" ca="1" si="127"/>
        <v>#REF!</v>
      </c>
      <c r="M641" s="103" t="e">
        <f t="shared" ca="1" si="128"/>
        <v>#REF!</v>
      </c>
      <c r="N641" s="104" t="e">
        <f t="shared" ca="1" si="129"/>
        <v>#REF!</v>
      </c>
    </row>
    <row r="642" spans="1:14">
      <c r="A642" s="96">
        <v>604</v>
      </c>
      <c r="B642" s="102" t="e">
        <f t="shared" ca="1" si="117"/>
        <v>#REF!</v>
      </c>
      <c r="C642" s="102" t="e">
        <f t="shared" ca="1" si="118"/>
        <v>#REF!</v>
      </c>
      <c r="D642" s="102" t="e">
        <f t="shared" ca="1" si="119"/>
        <v>#REF!</v>
      </c>
      <c r="E642" s="102" t="e">
        <f t="shared" ca="1" si="120"/>
        <v>#REF!</v>
      </c>
      <c r="F642" s="102" t="e">
        <f t="shared" ca="1" si="121"/>
        <v>#REF!</v>
      </c>
      <c r="G642" s="103">
        <f t="shared" ca="1" si="122"/>
        <v>0.46633668902396219</v>
      </c>
      <c r="H642" s="103">
        <f t="shared" ca="1" si="123"/>
        <v>0.21069188625207477</v>
      </c>
      <c r="I642" s="103" t="e">
        <f t="shared" ca="1" si="124"/>
        <v>#REF!</v>
      </c>
      <c r="J642" s="103" t="e">
        <f t="shared" ca="1" si="125"/>
        <v>#REF!</v>
      </c>
      <c r="K642" s="103" t="e">
        <f t="shared" ca="1" si="126"/>
        <v>#REF!</v>
      </c>
      <c r="L642" s="103" t="e">
        <f t="shared" ca="1" si="127"/>
        <v>#REF!</v>
      </c>
      <c r="M642" s="103" t="e">
        <f t="shared" ca="1" si="128"/>
        <v>#REF!</v>
      </c>
      <c r="N642" s="104" t="e">
        <f t="shared" ca="1" si="129"/>
        <v>#REF!</v>
      </c>
    </row>
    <row r="643" spans="1:14">
      <c r="A643" s="95">
        <v>605</v>
      </c>
      <c r="B643" s="102" t="e">
        <f t="shared" ca="1" si="117"/>
        <v>#REF!</v>
      </c>
      <c r="C643" s="102" t="e">
        <f t="shared" ca="1" si="118"/>
        <v>#REF!</v>
      </c>
      <c r="D643" s="102" t="e">
        <f t="shared" ca="1" si="119"/>
        <v>#REF!</v>
      </c>
      <c r="E643" s="102" t="e">
        <f t="shared" ca="1" si="120"/>
        <v>#REF!</v>
      </c>
      <c r="F643" s="102" t="e">
        <f t="shared" ca="1" si="121"/>
        <v>#REF!</v>
      </c>
      <c r="G643" s="103">
        <f t="shared" ca="1" si="122"/>
        <v>0.44889181913937365</v>
      </c>
      <c r="H643" s="103">
        <f t="shared" ca="1" si="123"/>
        <v>0.21389722890239923</v>
      </c>
      <c r="I643" s="103" t="e">
        <f t="shared" ca="1" si="124"/>
        <v>#REF!</v>
      </c>
      <c r="J643" s="103" t="e">
        <f t="shared" ca="1" si="125"/>
        <v>#REF!</v>
      </c>
      <c r="K643" s="103" t="e">
        <f t="shared" ca="1" si="126"/>
        <v>#REF!</v>
      </c>
      <c r="L643" s="103" t="e">
        <f t="shared" ca="1" si="127"/>
        <v>#REF!</v>
      </c>
      <c r="M643" s="103" t="e">
        <f t="shared" ca="1" si="128"/>
        <v>#REF!</v>
      </c>
      <c r="N643" s="104" t="e">
        <f t="shared" ca="1" si="129"/>
        <v>#REF!</v>
      </c>
    </row>
    <row r="644" spans="1:14">
      <c r="A644" s="96">
        <v>606</v>
      </c>
      <c r="B644" s="102" t="e">
        <f t="shared" ca="1" si="117"/>
        <v>#REF!</v>
      </c>
      <c r="C644" s="102" t="e">
        <f t="shared" ca="1" si="118"/>
        <v>#REF!</v>
      </c>
      <c r="D644" s="102" t="e">
        <f t="shared" ca="1" si="119"/>
        <v>#REF!</v>
      </c>
      <c r="E644" s="102" t="e">
        <f t="shared" ca="1" si="120"/>
        <v>#REF!</v>
      </c>
      <c r="F644" s="102" t="e">
        <f t="shared" ca="1" si="121"/>
        <v>#REF!</v>
      </c>
      <c r="G644" s="103">
        <f t="shared" ca="1" si="122"/>
        <v>0.40719809693055264</v>
      </c>
      <c r="H644" s="103">
        <f t="shared" ca="1" si="123"/>
        <v>0.19206867040761541</v>
      </c>
      <c r="I644" s="103" t="e">
        <f t="shared" ca="1" si="124"/>
        <v>#REF!</v>
      </c>
      <c r="J644" s="103" t="e">
        <f t="shared" ca="1" si="125"/>
        <v>#REF!</v>
      </c>
      <c r="K644" s="103" t="e">
        <f t="shared" ca="1" si="126"/>
        <v>#REF!</v>
      </c>
      <c r="L644" s="103" t="e">
        <f t="shared" ca="1" si="127"/>
        <v>#REF!</v>
      </c>
      <c r="M644" s="103" t="e">
        <f t="shared" ca="1" si="128"/>
        <v>#REF!</v>
      </c>
      <c r="N644" s="104" t="e">
        <f t="shared" ca="1" si="129"/>
        <v>#REF!</v>
      </c>
    </row>
    <row r="645" spans="1:14">
      <c r="A645" s="95">
        <v>607</v>
      </c>
      <c r="B645" s="102" t="e">
        <f t="shared" ca="1" si="117"/>
        <v>#REF!</v>
      </c>
      <c r="C645" s="102" t="e">
        <f t="shared" ca="1" si="118"/>
        <v>#REF!</v>
      </c>
      <c r="D645" s="102" t="e">
        <f t="shared" ca="1" si="119"/>
        <v>#REF!</v>
      </c>
      <c r="E645" s="102" t="e">
        <f t="shared" ca="1" si="120"/>
        <v>#REF!</v>
      </c>
      <c r="F645" s="102" t="e">
        <f t="shared" ca="1" si="121"/>
        <v>#REF!</v>
      </c>
      <c r="G645" s="103">
        <f t="shared" ca="1" si="122"/>
        <v>0.44746556953768502</v>
      </c>
      <c r="H645" s="103">
        <f t="shared" ca="1" si="123"/>
        <v>0.20159804981074486</v>
      </c>
      <c r="I645" s="103" t="e">
        <f t="shared" ca="1" si="124"/>
        <v>#REF!</v>
      </c>
      <c r="J645" s="103" t="e">
        <f t="shared" ca="1" si="125"/>
        <v>#REF!</v>
      </c>
      <c r="K645" s="103" t="e">
        <f t="shared" ca="1" si="126"/>
        <v>#REF!</v>
      </c>
      <c r="L645" s="103" t="e">
        <f t="shared" ca="1" si="127"/>
        <v>#REF!</v>
      </c>
      <c r="M645" s="103" t="e">
        <f t="shared" ca="1" si="128"/>
        <v>#REF!</v>
      </c>
      <c r="N645" s="104" t="e">
        <f t="shared" ca="1" si="129"/>
        <v>#REF!</v>
      </c>
    </row>
    <row r="646" spans="1:14">
      <c r="A646" s="96">
        <v>608</v>
      </c>
      <c r="B646" s="102" t="e">
        <f t="shared" ca="1" si="117"/>
        <v>#REF!</v>
      </c>
      <c r="C646" s="102" t="e">
        <f t="shared" ca="1" si="118"/>
        <v>#REF!</v>
      </c>
      <c r="D646" s="102" t="e">
        <f t="shared" ca="1" si="119"/>
        <v>#REF!</v>
      </c>
      <c r="E646" s="102" t="e">
        <f t="shared" ca="1" si="120"/>
        <v>#REF!</v>
      </c>
      <c r="F646" s="102" t="e">
        <f t="shared" ca="1" si="121"/>
        <v>#REF!</v>
      </c>
      <c r="G646" s="103">
        <f t="shared" ca="1" si="122"/>
        <v>0.43258253804690167</v>
      </c>
      <c r="H646" s="103">
        <f t="shared" ca="1" si="123"/>
        <v>0.16044053316864965</v>
      </c>
      <c r="I646" s="103" t="e">
        <f t="shared" ca="1" si="124"/>
        <v>#REF!</v>
      </c>
      <c r="J646" s="103" t="e">
        <f t="shared" ca="1" si="125"/>
        <v>#REF!</v>
      </c>
      <c r="K646" s="103" t="e">
        <f t="shared" ca="1" si="126"/>
        <v>#REF!</v>
      </c>
      <c r="L646" s="103" t="e">
        <f t="shared" ca="1" si="127"/>
        <v>#REF!</v>
      </c>
      <c r="M646" s="103" t="e">
        <f t="shared" ca="1" si="128"/>
        <v>#REF!</v>
      </c>
      <c r="N646" s="104" t="e">
        <f t="shared" ca="1" si="129"/>
        <v>#REF!</v>
      </c>
    </row>
    <row r="647" spans="1:14">
      <c r="A647" s="95">
        <v>609</v>
      </c>
      <c r="B647" s="102" t="e">
        <f t="shared" ca="1" si="117"/>
        <v>#REF!</v>
      </c>
      <c r="C647" s="102" t="e">
        <f t="shared" ca="1" si="118"/>
        <v>#REF!</v>
      </c>
      <c r="D647" s="102" t="e">
        <f t="shared" ca="1" si="119"/>
        <v>#REF!</v>
      </c>
      <c r="E647" s="102" t="e">
        <f t="shared" ca="1" si="120"/>
        <v>#REF!</v>
      </c>
      <c r="F647" s="102" t="e">
        <f t="shared" ca="1" si="121"/>
        <v>#REF!</v>
      </c>
      <c r="G647" s="103">
        <f t="shared" ca="1" si="122"/>
        <v>0.46462925923160614</v>
      </c>
      <c r="H647" s="103">
        <f t="shared" ca="1" si="123"/>
        <v>0.19278705707056185</v>
      </c>
      <c r="I647" s="103" t="e">
        <f t="shared" ca="1" si="124"/>
        <v>#REF!</v>
      </c>
      <c r="J647" s="103" t="e">
        <f t="shared" ca="1" si="125"/>
        <v>#REF!</v>
      </c>
      <c r="K647" s="103" t="e">
        <f t="shared" ca="1" si="126"/>
        <v>#REF!</v>
      </c>
      <c r="L647" s="103" t="e">
        <f t="shared" ca="1" si="127"/>
        <v>#REF!</v>
      </c>
      <c r="M647" s="103" t="e">
        <f t="shared" ca="1" si="128"/>
        <v>#REF!</v>
      </c>
      <c r="N647" s="104" t="e">
        <f t="shared" ca="1" si="129"/>
        <v>#REF!</v>
      </c>
    </row>
    <row r="648" spans="1:14">
      <c r="A648" s="96">
        <v>610</v>
      </c>
      <c r="B648" s="102" t="e">
        <f t="shared" ca="1" si="117"/>
        <v>#REF!</v>
      </c>
      <c r="C648" s="102" t="e">
        <f t="shared" ca="1" si="118"/>
        <v>#REF!</v>
      </c>
      <c r="D648" s="102" t="e">
        <f t="shared" ca="1" si="119"/>
        <v>#REF!</v>
      </c>
      <c r="E648" s="102" t="e">
        <f t="shared" ca="1" si="120"/>
        <v>#REF!</v>
      </c>
      <c r="F648" s="102" t="e">
        <f t="shared" ca="1" si="121"/>
        <v>#REF!</v>
      </c>
      <c r="G648" s="103">
        <f t="shared" ca="1" si="122"/>
        <v>0.428311224020203</v>
      </c>
      <c r="H648" s="103">
        <f t="shared" ca="1" si="123"/>
        <v>0.19104214072621314</v>
      </c>
      <c r="I648" s="103" t="e">
        <f t="shared" ca="1" si="124"/>
        <v>#REF!</v>
      </c>
      <c r="J648" s="103" t="e">
        <f t="shared" ca="1" si="125"/>
        <v>#REF!</v>
      </c>
      <c r="K648" s="103" t="e">
        <f t="shared" ca="1" si="126"/>
        <v>#REF!</v>
      </c>
      <c r="L648" s="103" t="e">
        <f t="shared" ca="1" si="127"/>
        <v>#REF!</v>
      </c>
      <c r="M648" s="103" t="e">
        <f t="shared" ca="1" si="128"/>
        <v>#REF!</v>
      </c>
      <c r="N648" s="104" t="e">
        <f t="shared" ca="1" si="129"/>
        <v>#REF!</v>
      </c>
    </row>
    <row r="649" spans="1:14">
      <c r="A649" s="95">
        <v>611</v>
      </c>
      <c r="B649" s="102" t="e">
        <f t="shared" ca="1" si="117"/>
        <v>#REF!</v>
      </c>
      <c r="C649" s="102" t="e">
        <f t="shared" ca="1" si="118"/>
        <v>#REF!</v>
      </c>
      <c r="D649" s="102" t="e">
        <f t="shared" ca="1" si="119"/>
        <v>#REF!</v>
      </c>
      <c r="E649" s="102" t="e">
        <f t="shared" ca="1" si="120"/>
        <v>#REF!</v>
      </c>
      <c r="F649" s="102" t="e">
        <f t="shared" ca="1" si="121"/>
        <v>#REF!</v>
      </c>
      <c r="G649" s="103">
        <f t="shared" ca="1" si="122"/>
        <v>0.41196350238799795</v>
      </c>
      <c r="H649" s="103">
        <f t="shared" ca="1" si="123"/>
        <v>0.2101140593997394</v>
      </c>
      <c r="I649" s="103" t="e">
        <f t="shared" ca="1" si="124"/>
        <v>#REF!</v>
      </c>
      <c r="J649" s="103" t="e">
        <f t="shared" ca="1" si="125"/>
        <v>#REF!</v>
      </c>
      <c r="K649" s="103" t="e">
        <f t="shared" ca="1" si="126"/>
        <v>#REF!</v>
      </c>
      <c r="L649" s="103" t="e">
        <f t="shared" ca="1" si="127"/>
        <v>#REF!</v>
      </c>
      <c r="M649" s="103" t="e">
        <f t="shared" ca="1" si="128"/>
        <v>#REF!</v>
      </c>
      <c r="N649" s="104" t="e">
        <f t="shared" ca="1" si="129"/>
        <v>#REF!</v>
      </c>
    </row>
    <row r="650" spans="1:14">
      <c r="A650" s="96">
        <v>612</v>
      </c>
      <c r="B650" s="102" t="e">
        <f t="shared" ca="1" si="117"/>
        <v>#REF!</v>
      </c>
      <c r="C650" s="102" t="e">
        <f t="shared" ca="1" si="118"/>
        <v>#REF!</v>
      </c>
      <c r="D650" s="102" t="e">
        <f t="shared" ca="1" si="119"/>
        <v>#REF!</v>
      </c>
      <c r="E650" s="102" t="e">
        <f t="shared" ca="1" si="120"/>
        <v>#REF!</v>
      </c>
      <c r="F650" s="102" t="e">
        <f t="shared" ca="1" si="121"/>
        <v>#REF!</v>
      </c>
      <c r="G650" s="103">
        <f t="shared" ca="1" si="122"/>
        <v>0.42604170986359735</v>
      </c>
      <c r="H650" s="103">
        <f t="shared" ca="1" si="123"/>
        <v>0.20736092033714909</v>
      </c>
      <c r="I650" s="103" t="e">
        <f t="shared" ca="1" si="124"/>
        <v>#REF!</v>
      </c>
      <c r="J650" s="103" t="e">
        <f t="shared" ca="1" si="125"/>
        <v>#REF!</v>
      </c>
      <c r="K650" s="103" t="e">
        <f t="shared" ca="1" si="126"/>
        <v>#REF!</v>
      </c>
      <c r="L650" s="103" t="e">
        <f t="shared" ca="1" si="127"/>
        <v>#REF!</v>
      </c>
      <c r="M650" s="103" t="e">
        <f t="shared" ca="1" si="128"/>
        <v>#REF!</v>
      </c>
      <c r="N650" s="104" t="e">
        <f t="shared" ca="1" si="129"/>
        <v>#REF!</v>
      </c>
    </row>
    <row r="651" spans="1:14">
      <c r="A651" s="95">
        <v>613</v>
      </c>
      <c r="B651" s="102" t="e">
        <f t="shared" ca="1" si="117"/>
        <v>#REF!</v>
      </c>
      <c r="C651" s="102" t="e">
        <f t="shared" ca="1" si="118"/>
        <v>#REF!</v>
      </c>
      <c r="D651" s="102" t="e">
        <f t="shared" ca="1" si="119"/>
        <v>#REF!</v>
      </c>
      <c r="E651" s="102" t="e">
        <f t="shared" ca="1" si="120"/>
        <v>#REF!</v>
      </c>
      <c r="F651" s="102" t="e">
        <f t="shared" ca="1" si="121"/>
        <v>#REF!</v>
      </c>
      <c r="G651" s="103">
        <f t="shared" ca="1" si="122"/>
        <v>0.39473718210694125</v>
      </c>
      <c r="H651" s="103">
        <f t="shared" ca="1" si="123"/>
        <v>0.21056829067398442</v>
      </c>
      <c r="I651" s="103" t="e">
        <f t="shared" ca="1" si="124"/>
        <v>#REF!</v>
      </c>
      <c r="J651" s="103" t="e">
        <f t="shared" ca="1" si="125"/>
        <v>#REF!</v>
      </c>
      <c r="K651" s="103" t="e">
        <f t="shared" ca="1" si="126"/>
        <v>#REF!</v>
      </c>
      <c r="L651" s="103" t="e">
        <f t="shared" ca="1" si="127"/>
        <v>#REF!</v>
      </c>
      <c r="M651" s="103" t="e">
        <f t="shared" ca="1" si="128"/>
        <v>#REF!</v>
      </c>
      <c r="N651" s="104" t="e">
        <f t="shared" ca="1" si="129"/>
        <v>#REF!</v>
      </c>
    </row>
    <row r="652" spans="1:14">
      <c r="A652" s="96">
        <v>614</v>
      </c>
      <c r="B652" s="102" t="e">
        <f t="shared" ca="1" si="117"/>
        <v>#REF!</v>
      </c>
      <c r="C652" s="102" t="e">
        <f t="shared" ca="1" si="118"/>
        <v>#REF!</v>
      </c>
      <c r="D652" s="102" t="e">
        <f t="shared" ca="1" si="119"/>
        <v>#REF!</v>
      </c>
      <c r="E652" s="102" t="e">
        <f t="shared" ca="1" si="120"/>
        <v>#REF!</v>
      </c>
      <c r="F652" s="102" t="e">
        <f t="shared" ca="1" si="121"/>
        <v>#REF!</v>
      </c>
      <c r="G652" s="103">
        <f t="shared" ca="1" si="122"/>
        <v>0.44971396937739277</v>
      </c>
      <c r="H652" s="103">
        <f t="shared" ca="1" si="123"/>
        <v>0.2112811145968656</v>
      </c>
      <c r="I652" s="103" t="e">
        <f t="shared" ca="1" si="124"/>
        <v>#REF!</v>
      </c>
      <c r="J652" s="103" t="e">
        <f t="shared" ca="1" si="125"/>
        <v>#REF!</v>
      </c>
      <c r="K652" s="103" t="e">
        <f t="shared" ca="1" si="126"/>
        <v>#REF!</v>
      </c>
      <c r="L652" s="103" t="e">
        <f t="shared" ca="1" si="127"/>
        <v>#REF!</v>
      </c>
      <c r="M652" s="103" t="e">
        <f t="shared" ca="1" si="128"/>
        <v>#REF!</v>
      </c>
      <c r="N652" s="104" t="e">
        <f t="shared" ca="1" si="129"/>
        <v>#REF!</v>
      </c>
    </row>
    <row r="653" spans="1:14">
      <c r="A653" s="95">
        <v>615</v>
      </c>
      <c r="B653" s="102" t="e">
        <f t="shared" ca="1" si="117"/>
        <v>#REF!</v>
      </c>
      <c r="C653" s="102" t="e">
        <f t="shared" ca="1" si="118"/>
        <v>#REF!</v>
      </c>
      <c r="D653" s="102" t="e">
        <f t="shared" ca="1" si="119"/>
        <v>#REF!</v>
      </c>
      <c r="E653" s="102" t="e">
        <f t="shared" ca="1" si="120"/>
        <v>#REF!</v>
      </c>
      <c r="F653" s="102" t="e">
        <f t="shared" ca="1" si="121"/>
        <v>#REF!</v>
      </c>
      <c r="G653" s="103">
        <f t="shared" ca="1" si="122"/>
        <v>0.46099855785353222</v>
      </c>
      <c r="H653" s="103">
        <f t="shared" ca="1" si="123"/>
        <v>0.19375306938360348</v>
      </c>
      <c r="I653" s="103" t="e">
        <f t="shared" ca="1" si="124"/>
        <v>#REF!</v>
      </c>
      <c r="J653" s="103" t="e">
        <f t="shared" ca="1" si="125"/>
        <v>#REF!</v>
      </c>
      <c r="K653" s="103" t="e">
        <f t="shared" ca="1" si="126"/>
        <v>#REF!</v>
      </c>
      <c r="L653" s="103" t="e">
        <f t="shared" ca="1" si="127"/>
        <v>#REF!</v>
      </c>
      <c r="M653" s="103" t="e">
        <f t="shared" ca="1" si="128"/>
        <v>#REF!</v>
      </c>
      <c r="N653" s="104" t="e">
        <f t="shared" ca="1" si="129"/>
        <v>#REF!</v>
      </c>
    </row>
    <row r="654" spans="1:14">
      <c r="A654" s="96">
        <v>616</v>
      </c>
      <c r="B654" s="102" t="e">
        <f t="shared" ca="1" si="117"/>
        <v>#REF!</v>
      </c>
      <c r="C654" s="102" t="e">
        <f t="shared" ca="1" si="118"/>
        <v>#REF!</v>
      </c>
      <c r="D654" s="102" t="e">
        <f t="shared" ca="1" si="119"/>
        <v>#REF!</v>
      </c>
      <c r="E654" s="102" t="e">
        <f t="shared" ca="1" si="120"/>
        <v>#REF!</v>
      </c>
      <c r="F654" s="102" t="e">
        <f t="shared" ca="1" si="121"/>
        <v>#REF!</v>
      </c>
      <c r="G654" s="103">
        <f t="shared" ca="1" si="122"/>
        <v>0.43321772168500183</v>
      </c>
      <c r="H654" s="103">
        <f t="shared" ca="1" si="123"/>
        <v>0.19010025268587299</v>
      </c>
      <c r="I654" s="103" t="e">
        <f t="shared" ca="1" si="124"/>
        <v>#REF!</v>
      </c>
      <c r="J654" s="103" t="e">
        <f t="shared" ca="1" si="125"/>
        <v>#REF!</v>
      </c>
      <c r="K654" s="103" t="e">
        <f t="shared" ca="1" si="126"/>
        <v>#REF!</v>
      </c>
      <c r="L654" s="103" t="e">
        <f t="shared" ca="1" si="127"/>
        <v>#REF!</v>
      </c>
      <c r="M654" s="103" t="e">
        <f t="shared" ca="1" si="128"/>
        <v>#REF!</v>
      </c>
      <c r="N654" s="104" t="e">
        <f t="shared" ca="1" si="129"/>
        <v>#REF!</v>
      </c>
    </row>
    <row r="655" spans="1:14">
      <c r="A655" s="95">
        <v>617</v>
      </c>
      <c r="B655" s="102" t="e">
        <f t="shared" ca="1" si="117"/>
        <v>#REF!</v>
      </c>
      <c r="C655" s="102" t="e">
        <f t="shared" ca="1" si="118"/>
        <v>#REF!</v>
      </c>
      <c r="D655" s="102" t="e">
        <f t="shared" ca="1" si="119"/>
        <v>#REF!</v>
      </c>
      <c r="E655" s="102" t="e">
        <f t="shared" ca="1" si="120"/>
        <v>#REF!</v>
      </c>
      <c r="F655" s="102" t="e">
        <f t="shared" ca="1" si="121"/>
        <v>#REF!</v>
      </c>
      <c r="G655" s="103">
        <f t="shared" ca="1" si="122"/>
        <v>0.49171553795157413</v>
      </c>
      <c r="H655" s="103">
        <f t="shared" ca="1" si="123"/>
        <v>0.21604202346447357</v>
      </c>
      <c r="I655" s="103" t="e">
        <f t="shared" ca="1" si="124"/>
        <v>#REF!</v>
      </c>
      <c r="J655" s="103" t="e">
        <f t="shared" ca="1" si="125"/>
        <v>#REF!</v>
      </c>
      <c r="K655" s="103" t="e">
        <f t="shared" ca="1" si="126"/>
        <v>#REF!</v>
      </c>
      <c r="L655" s="103" t="e">
        <f t="shared" ca="1" si="127"/>
        <v>#REF!</v>
      </c>
      <c r="M655" s="103" t="e">
        <f t="shared" ca="1" si="128"/>
        <v>#REF!</v>
      </c>
      <c r="N655" s="104" t="e">
        <f t="shared" ca="1" si="129"/>
        <v>#REF!</v>
      </c>
    </row>
    <row r="656" spans="1:14">
      <c r="A656" s="96">
        <v>618</v>
      </c>
      <c r="B656" s="102" t="e">
        <f t="shared" ca="1" si="117"/>
        <v>#REF!</v>
      </c>
      <c r="C656" s="102" t="e">
        <f t="shared" ca="1" si="118"/>
        <v>#REF!</v>
      </c>
      <c r="D656" s="102" t="e">
        <f t="shared" ca="1" si="119"/>
        <v>#REF!</v>
      </c>
      <c r="E656" s="102" t="e">
        <f t="shared" ca="1" si="120"/>
        <v>#REF!</v>
      </c>
      <c r="F656" s="102" t="e">
        <f t="shared" ca="1" si="121"/>
        <v>#REF!</v>
      </c>
      <c r="G656" s="103">
        <f t="shared" ca="1" si="122"/>
        <v>0.48686196942293308</v>
      </c>
      <c r="H656" s="103">
        <f t="shared" ca="1" si="123"/>
        <v>0.20708710168739128</v>
      </c>
      <c r="I656" s="103" t="e">
        <f t="shared" ca="1" si="124"/>
        <v>#REF!</v>
      </c>
      <c r="J656" s="103" t="e">
        <f t="shared" ca="1" si="125"/>
        <v>#REF!</v>
      </c>
      <c r="K656" s="103" t="e">
        <f t="shared" ca="1" si="126"/>
        <v>#REF!</v>
      </c>
      <c r="L656" s="103" t="e">
        <f t="shared" ca="1" si="127"/>
        <v>#REF!</v>
      </c>
      <c r="M656" s="103" t="e">
        <f t="shared" ca="1" si="128"/>
        <v>#REF!</v>
      </c>
      <c r="N656" s="104" t="e">
        <f t="shared" ca="1" si="129"/>
        <v>#REF!</v>
      </c>
    </row>
    <row r="657" spans="1:14">
      <c r="A657" s="95">
        <v>619</v>
      </c>
      <c r="B657" s="102" t="e">
        <f t="shared" ca="1" si="117"/>
        <v>#REF!</v>
      </c>
      <c r="C657" s="102" t="e">
        <f t="shared" ca="1" si="118"/>
        <v>#REF!</v>
      </c>
      <c r="D657" s="102" t="e">
        <f t="shared" ca="1" si="119"/>
        <v>#REF!</v>
      </c>
      <c r="E657" s="102" t="e">
        <f t="shared" ca="1" si="120"/>
        <v>#REF!</v>
      </c>
      <c r="F657" s="102" t="e">
        <f t="shared" ca="1" si="121"/>
        <v>#REF!</v>
      </c>
      <c r="G657" s="103">
        <f t="shared" ca="1" si="122"/>
        <v>0.43525155342276284</v>
      </c>
      <c r="H657" s="103">
        <f t="shared" ca="1" si="123"/>
        <v>0.22143924013933033</v>
      </c>
      <c r="I657" s="103" t="e">
        <f t="shared" ca="1" si="124"/>
        <v>#REF!</v>
      </c>
      <c r="J657" s="103" t="e">
        <f t="shared" ca="1" si="125"/>
        <v>#REF!</v>
      </c>
      <c r="K657" s="103" t="e">
        <f t="shared" ca="1" si="126"/>
        <v>#REF!</v>
      </c>
      <c r="L657" s="103" t="e">
        <f t="shared" ca="1" si="127"/>
        <v>#REF!</v>
      </c>
      <c r="M657" s="103" t="e">
        <f t="shared" ca="1" si="128"/>
        <v>#REF!</v>
      </c>
      <c r="N657" s="104" t="e">
        <f t="shared" ca="1" si="129"/>
        <v>#REF!</v>
      </c>
    </row>
    <row r="658" spans="1:14">
      <c r="A658" s="96">
        <v>620</v>
      </c>
      <c r="B658" s="102" t="e">
        <f t="shared" ca="1" si="117"/>
        <v>#REF!</v>
      </c>
      <c r="C658" s="102" t="e">
        <f t="shared" ca="1" si="118"/>
        <v>#REF!</v>
      </c>
      <c r="D658" s="102" t="e">
        <f t="shared" ca="1" si="119"/>
        <v>#REF!</v>
      </c>
      <c r="E658" s="102" t="e">
        <f t="shared" ca="1" si="120"/>
        <v>#REF!</v>
      </c>
      <c r="F658" s="102" t="e">
        <f t="shared" ca="1" si="121"/>
        <v>#REF!</v>
      </c>
      <c r="G658" s="103">
        <f t="shared" ca="1" si="122"/>
        <v>0.44502126591363589</v>
      </c>
      <c r="H658" s="103">
        <f t="shared" ca="1" si="123"/>
        <v>0.208326823912522</v>
      </c>
      <c r="I658" s="103" t="e">
        <f t="shared" ca="1" si="124"/>
        <v>#REF!</v>
      </c>
      <c r="J658" s="103" t="e">
        <f t="shared" ca="1" si="125"/>
        <v>#REF!</v>
      </c>
      <c r="K658" s="103" t="e">
        <f t="shared" ca="1" si="126"/>
        <v>#REF!</v>
      </c>
      <c r="L658" s="103" t="e">
        <f t="shared" ca="1" si="127"/>
        <v>#REF!</v>
      </c>
      <c r="M658" s="103" t="e">
        <f t="shared" ca="1" si="128"/>
        <v>#REF!</v>
      </c>
      <c r="N658" s="104" t="e">
        <f t="shared" ca="1" si="129"/>
        <v>#REF!</v>
      </c>
    </row>
    <row r="659" spans="1:14">
      <c r="A659" s="95">
        <v>621</v>
      </c>
      <c r="B659" s="102" t="e">
        <f t="shared" ca="1" si="117"/>
        <v>#REF!</v>
      </c>
      <c r="C659" s="102" t="e">
        <f t="shared" ca="1" si="118"/>
        <v>#REF!</v>
      </c>
      <c r="D659" s="102" t="e">
        <f t="shared" ca="1" si="119"/>
        <v>#REF!</v>
      </c>
      <c r="E659" s="102" t="e">
        <f t="shared" ca="1" si="120"/>
        <v>#REF!</v>
      </c>
      <c r="F659" s="102" t="e">
        <f t="shared" ca="1" si="121"/>
        <v>#REF!</v>
      </c>
      <c r="G659" s="103">
        <f t="shared" ca="1" si="122"/>
        <v>0.45479033603205632</v>
      </c>
      <c r="H659" s="103">
        <f t="shared" ca="1" si="123"/>
        <v>0.20391546689356954</v>
      </c>
      <c r="I659" s="103" t="e">
        <f t="shared" ca="1" si="124"/>
        <v>#REF!</v>
      </c>
      <c r="J659" s="103" t="e">
        <f t="shared" ca="1" si="125"/>
        <v>#REF!</v>
      </c>
      <c r="K659" s="103" t="e">
        <f t="shared" ca="1" si="126"/>
        <v>#REF!</v>
      </c>
      <c r="L659" s="103" t="e">
        <f t="shared" ca="1" si="127"/>
        <v>#REF!</v>
      </c>
      <c r="M659" s="103" t="e">
        <f t="shared" ca="1" si="128"/>
        <v>#REF!</v>
      </c>
      <c r="N659" s="104" t="e">
        <f t="shared" ca="1" si="129"/>
        <v>#REF!</v>
      </c>
    </row>
    <row r="660" spans="1:14">
      <c r="A660" s="96">
        <v>622</v>
      </c>
      <c r="B660" s="102" t="e">
        <f t="shared" ca="1" si="117"/>
        <v>#REF!</v>
      </c>
      <c r="C660" s="102" t="e">
        <f t="shared" ca="1" si="118"/>
        <v>#REF!</v>
      </c>
      <c r="D660" s="102" t="e">
        <f t="shared" ca="1" si="119"/>
        <v>#REF!</v>
      </c>
      <c r="E660" s="102" t="e">
        <f t="shared" ca="1" si="120"/>
        <v>#REF!</v>
      </c>
      <c r="F660" s="102" t="e">
        <f t="shared" ca="1" si="121"/>
        <v>#REF!</v>
      </c>
      <c r="G660" s="103">
        <f t="shared" ca="1" si="122"/>
        <v>0.42568316016372543</v>
      </c>
      <c r="H660" s="103">
        <f t="shared" ca="1" si="123"/>
        <v>0.18193998036802561</v>
      </c>
      <c r="I660" s="103" t="e">
        <f t="shared" ca="1" si="124"/>
        <v>#REF!</v>
      </c>
      <c r="J660" s="103" t="e">
        <f t="shared" ca="1" si="125"/>
        <v>#REF!</v>
      </c>
      <c r="K660" s="103" t="e">
        <f t="shared" ca="1" si="126"/>
        <v>#REF!</v>
      </c>
      <c r="L660" s="103" t="e">
        <f t="shared" ca="1" si="127"/>
        <v>#REF!</v>
      </c>
      <c r="M660" s="103" t="e">
        <f t="shared" ca="1" si="128"/>
        <v>#REF!</v>
      </c>
      <c r="N660" s="104" t="e">
        <f t="shared" ca="1" si="129"/>
        <v>#REF!</v>
      </c>
    </row>
    <row r="661" spans="1:14">
      <c r="A661" s="95">
        <v>623</v>
      </c>
      <c r="B661" s="102" t="e">
        <f t="shared" ca="1" si="117"/>
        <v>#REF!</v>
      </c>
      <c r="C661" s="102" t="e">
        <f t="shared" ca="1" si="118"/>
        <v>#REF!</v>
      </c>
      <c r="D661" s="102" t="e">
        <f t="shared" ca="1" si="119"/>
        <v>#REF!</v>
      </c>
      <c r="E661" s="102" t="e">
        <f t="shared" ca="1" si="120"/>
        <v>#REF!</v>
      </c>
      <c r="F661" s="102" t="e">
        <f t="shared" ca="1" si="121"/>
        <v>#REF!</v>
      </c>
      <c r="G661" s="103">
        <f t="shared" ca="1" si="122"/>
        <v>0.42496259983978352</v>
      </c>
      <c r="H661" s="103">
        <f t="shared" ca="1" si="123"/>
        <v>0.20140137747926079</v>
      </c>
      <c r="I661" s="103" t="e">
        <f t="shared" ca="1" si="124"/>
        <v>#REF!</v>
      </c>
      <c r="J661" s="103" t="e">
        <f t="shared" ca="1" si="125"/>
        <v>#REF!</v>
      </c>
      <c r="K661" s="103" t="e">
        <f t="shared" ca="1" si="126"/>
        <v>#REF!</v>
      </c>
      <c r="L661" s="103" t="e">
        <f t="shared" ca="1" si="127"/>
        <v>#REF!</v>
      </c>
      <c r="M661" s="103" t="e">
        <f t="shared" ca="1" si="128"/>
        <v>#REF!</v>
      </c>
      <c r="N661" s="104" t="e">
        <f t="shared" ca="1" si="129"/>
        <v>#REF!</v>
      </c>
    </row>
    <row r="662" spans="1:14">
      <c r="A662" s="96">
        <v>624</v>
      </c>
      <c r="B662" s="102" t="e">
        <f t="shared" ca="1" si="117"/>
        <v>#REF!</v>
      </c>
      <c r="C662" s="102" t="e">
        <f t="shared" ca="1" si="118"/>
        <v>#REF!</v>
      </c>
      <c r="D662" s="102" t="e">
        <f t="shared" ca="1" si="119"/>
        <v>#REF!</v>
      </c>
      <c r="E662" s="102" t="e">
        <f t="shared" ca="1" si="120"/>
        <v>#REF!</v>
      </c>
      <c r="F662" s="102" t="e">
        <f t="shared" ca="1" si="121"/>
        <v>#REF!</v>
      </c>
      <c r="G662" s="103">
        <f t="shared" ca="1" si="122"/>
        <v>0.42766207953183488</v>
      </c>
      <c r="H662" s="103">
        <f t="shared" ca="1" si="123"/>
        <v>0.21128039926696304</v>
      </c>
      <c r="I662" s="103" t="e">
        <f t="shared" ca="1" si="124"/>
        <v>#REF!</v>
      </c>
      <c r="J662" s="103" t="e">
        <f t="shared" ca="1" si="125"/>
        <v>#REF!</v>
      </c>
      <c r="K662" s="103" t="e">
        <f t="shared" ca="1" si="126"/>
        <v>#REF!</v>
      </c>
      <c r="L662" s="103" t="e">
        <f t="shared" ca="1" si="127"/>
        <v>#REF!</v>
      </c>
      <c r="M662" s="103" t="e">
        <f t="shared" ca="1" si="128"/>
        <v>#REF!</v>
      </c>
      <c r="N662" s="104" t="e">
        <f t="shared" ca="1" si="129"/>
        <v>#REF!</v>
      </c>
    </row>
    <row r="663" spans="1:14">
      <c r="A663" s="95">
        <v>625</v>
      </c>
      <c r="B663" s="102" t="e">
        <f t="shared" ca="1" si="117"/>
        <v>#REF!</v>
      </c>
      <c r="C663" s="102" t="e">
        <f t="shared" ca="1" si="118"/>
        <v>#REF!</v>
      </c>
      <c r="D663" s="102" t="e">
        <f t="shared" ca="1" si="119"/>
        <v>#REF!</v>
      </c>
      <c r="E663" s="102" t="e">
        <f t="shared" ca="1" si="120"/>
        <v>#REF!</v>
      </c>
      <c r="F663" s="102" t="e">
        <f t="shared" ca="1" si="121"/>
        <v>#REF!</v>
      </c>
      <c r="G663" s="103">
        <f t="shared" ca="1" si="122"/>
        <v>0.44303270986579485</v>
      </c>
      <c r="H663" s="103">
        <f t="shared" ca="1" si="123"/>
        <v>0.18179129421546794</v>
      </c>
      <c r="I663" s="103" t="e">
        <f t="shared" ca="1" si="124"/>
        <v>#REF!</v>
      </c>
      <c r="J663" s="103" t="e">
        <f t="shared" ca="1" si="125"/>
        <v>#REF!</v>
      </c>
      <c r="K663" s="103" t="e">
        <f t="shared" ca="1" si="126"/>
        <v>#REF!</v>
      </c>
      <c r="L663" s="103" t="e">
        <f t="shared" ca="1" si="127"/>
        <v>#REF!</v>
      </c>
      <c r="M663" s="103" t="e">
        <f t="shared" ca="1" si="128"/>
        <v>#REF!</v>
      </c>
      <c r="N663" s="104" t="e">
        <f t="shared" ca="1" si="129"/>
        <v>#REF!</v>
      </c>
    </row>
    <row r="664" spans="1:14">
      <c r="A664" s="96">
        <v>626</v>
      </c>
      <c r="B664" s="102" t="e">
        <f t="shared" ca="1" si="117"/>
        <v>#REF!</v>
      </c>
      <c r="C664" s="102" t="e">
        <f t="shared" ca="1" si="118"/>
        <v>#REF!</v>
      </c>
      <c r="D664" s="102" t="e">
        <f t="shared" ca="1" si="119"/>
        <v>#REF!</v>
      </c>
      <c r="E664" s="102" t="e">
        <f t="shared" ca="1" si="120"/>
        <v>#REF!</v>
      </c>
      <c r="F664" s="102" t="e">
        <f t="shared" ca="1" si="121"/>
        <v>#REF!</v>
      </c>
      <c r="G664" s="103">
        <f t="shared" ca="1" si="122"/>
        <v>0.49133476400306325</v>
      </c>
      <c r="H664" s="103">
        <f t="shared" ca="1" si="123"/>
        <v>0.2188376727419972</v>
      </c>
      <c r="I664" s="103" t="e">
        <f t="shared" ca="1" si="124"/>
        <v>#REF!</v>
      </c>
      <c r="J664" s="103" t="e">
        <f t="shared" ca="1" si="125"/>
        <v>#REF!</v>
      </c>
      <c r="K664" s="103" t="e">
        <f t="shared" ca="1" si="126"/>
        <v>#REF!</v>
      </c>
      <c r="L664" s="103" t="e">
        <f t="shared" ca="1" si="127"/>
        <v>#REF!</v>
      </c>
      <c r="M664" s="103" t="e">
        <f t="shared" ca="1" si="128"/>
        <v>#REF!</v>
      </c>
      <c r="N664" s="104" t="e">
        <f t="shared" ca="1" si="129"/>
        <v>#REF!</v>
      </c>
    </row>
    <row r="665" spans="1:14">
      <c r="A665" s="95">
        <v>627</v>
      </c>
      <c r="B665" s="102" t="e">
        <f t="shared" ca="1" si="117"/>
        <v>#REF!</v>
      </c>
      <c r="C665" s="102" t="e">
        <f t="shared" ca="1" si="118"/>
        <v>#REF!</v>
      </c>
      <c r="D665" s="102" t="e">
        <f t="shared" ca="1" si="119"/>
        <v>#REF!</v>
      </c>
      <c r="E665" s="102" t="e">
        <f t="shared" ca="1" si="120"/>
        <v>#REF!</v>
      </c>
      <c r="F665" s="102" t="e">
        <f t="shared" ca="1" si="121"/>
        <v>#REF!</v>
      </c>
      <c r="G665" s="103">
        <f t="shared" ca="1" si="122"/>
        <v>0.42037953706810138</v>
      </c>
      <c r="H665" s="103">
        <f t="shared" ca="1" si="123"/>
        <v>0.18915704217001036</v>
      </c>
      <c r="I665" s="103" t="e">
        <f t="shared" ca="1" si="124"/>
        <v>#REF!</v>
      </c>
      <c r="J665" s="103" t="e">
        <f t="shared" ca="1" si="125"/>
        <v>#REF!</v>
      </c>
      <c r="K665" s="103" t="e">
        <f t="shared" ca="1" si="126"/>
        <v>#REF!</v>
      </c>
      <c r="L665" s="103" t="e">
        <f t="shared" ca="1" si="127"/>
        <v>#REF!</v>
      </c>
      <c r="M665" s="103" t="e">
        <f t="shared" ca="1" si="128"/>
        <v>#REF!</v>
      </c>
      <c r="N665" s="104" t="e">
        <f t="shared" ca="1" si="129"/>
        <v>#REF!</v>
      </c>
    </row>
    <row r="666" spans="1:14">
      <c r="A666" s="96">
        <v>628</v>
      </c>
      <c r="B666" s="102" t="e">
        <f t="shared" ca="1" si="117"/>
        <v>#REF!</v>
      </c>
      <c r="C666" s="102" t="e">
        <f t="shared" ca="1" si="118"/>
        <v>#REF!</v>
      </c>
      <c r="D666" s="102" t="e">
        <f t="shared" ca="1" si="119"/>
        <v>#REF!</v>
      </c>
      <c r="E666" s="102" t="e">
        <f t="shared" ca="1" si="120"/>
        <v>#REF!</v>
      </c>
      <c r="F666" s="102" t="e">
        <f t="shared" ca="1" si="121"/>
        <v>#REF!</v>
      </c>
      <c r="G666" s="103">
        <f t="shared" ca="1" si="122"/>
        <v>0.44656410508669864</v>
      </c>
      <c r="H666" s="103">
        <f t="shared" ca="1" si="123"/>
        <v>0.22912899798815137</v>
      </c>
      <c r="I666" s="103" t="e">
        <f t="shared" ca="1" si="124"/>
        <v>#REF!</v>
      </c>
      <c r="J666" s="103" t="e">
        <f t="shared" ca="1" si="125"/>
        <v>#REF!</v>
      </c>
      <c r="K666" s="103" t="e">
        <f t="shared" ca="1" si="126"/>
        <v>#REF!</v>
      </c>
      <c r="L666" s="103" t="e">
        <f t="shared" ca="1" si="127"/>
        <v>#REF!</v>
      </c>
      <c r="M666" s="103" t="e">
        <f t="shared" ca="1" si="128"/>
        <v>#REF!</v>
      </c>
      <c r="N666" s="104" t="e">
        <f t="shared" ca="1" si="129"/>
        <v>#REF!</v>
      </c>
    </row>
    <row r="667" spans="1:14">
      <c r="A667" s="95">
        <v>629</v>
      </c>
      <c r="B667" s="102" t="e">
        <f t="shared" ca="1" si="117"/>
        <v>#REF!</v>
      </c>
      <c r="C667" s="102" t="e">
        <f t="shared" ca="1" si="118"/>
        <v>#REF!</v>
      </c>
      <c r="D667" s="102" t="e">
        <f t="shared" ca="1" si="119"/>
        <v>#REF!</v>
      </c>
      <c r="E667" s="102" t="e">
        <f t="shared" ca="1" si="120"/>
        <v>#REF!</v>
      </c>
      <c r="F667" s="102" t="e">
        <f t="shared" ca="1" si="121"/>
        <v>#REF!</v>
      </c>
      <c r="G667" s="103">
        <f t="shared" ca="1" si="122"/>
        <v>0.46342750010518596</v>
      </c>
      <c r="H667" s="103">
        <f t="shared" ca="1" si="123"/>
        <v>0.22483195772976369</v>
      </c>
      <c r="I667" s="103" t="e">
        <f t="shared" ca="1" si="124"/>
        <v>#REF!</v>
      </c>
      <c r="J667" s="103" t="e">
        <f t="shared" ca="1" si="125"/>
        <v>#REF!</v>
      </c>
      <c r="K667" s="103" t="e">
        <f t="shared" ca="1" si="126"/>
        <v>#REF!</v>
      </c>
      <c r="L667" s="103" t="e">
        <f t="shared" ca="1" si="127"/>
        <v>#REF!</v>
      </c>
      <c r="M667" s="103" t="e">
        <f t="shared" ca="1" si="128"/>
        <v>#REF!</v>
      </c>
      <c r="N667" s="104" t="e">
        <f t="shared" ca="1" si="129"/>
        <v>#REF!</v>
      </c>
    </row>
    <row r="668" spans="1:14">
      <c r="A668" s="96">
        <v>630</v>
      </c>
      <c r="B668" s="102" t="e">
        <f t="shared" ca="1" si="117"/>
        <v>#REF!</v>
      </c>
      <c r="C668" s="102" t="e">
        <f t="shared" ca="1" si="118"/>
        <v>#REF!</v>
      </c>
      <c r="D668" s="102" t="e">
        <f t="shared" ca="1" si="119"/>
        <v>#REF!</v>
      </c>
      <c r="E668" s="102" t="e">
        <f t="shared" ca="1" si="120"/>
        <v>#REF!</v>
      </c>
      <c r="F668" s="102" t="e">
        <f t="shared" ca="1" si="121"/>
        <v>#REF!</v>
      </c>
      <c r="G668" s="103">
        <f t="shared" ca="1" si="122"/>
        <v>0.46747500213310655</v>
      </c>
      <c r="H668" s="103">
        <f t="shared" ca="1" si="123"/>
        <v>0.20120724492887021</v>
      </c>
      <c r="I668" s="103" t="e">
        <f t="shared" ca="1" si="124"/>
        <v>#REF!</v>
      </c>
      <c r="J668" s="103" t="e">
        <f t="shared" ca="1" si="125"/>
        <v>#REF!</v>
      </c>
      <c r="K668" s="103" t="e">
        <f t="shared" ca="1" si="126"/>
        <v>#REF!</v>
      </c>
      <c r="L668" s="103" t="e">
        <f t="shared" ca="1" si="127"/>
        <v>#REF!</v>
      </c>
      <c r="M668" s="103" t="e">
        <f t="shared" ca="1" si="128"/>
        <v>#REF!</v>
      </c>
      <c r="N668" s="104" t="e">
        <f t="shared" ca="1" si="129"/>
        <v>#REF!</v>
      </c>
    </row>
    <row r="669" spans="1:14">
      <c r="A669" s="95">
        <v>631</v>
      </c>
      <c r="B669" s="102" t="e">
        <f t="shared" ca="1" si="117"/>
        <v>#REF!</v>
      </c>
      <c r="C669" s="102" t="e">
        <f t="shared" ca="1" si="118"/>
        <v>#REF!</v>
      </c>
      <c r="D669" s="102" t="e">
        <f t="shared" ca="1" si="119"/>
        <v>#REF!</v>
      </c>
      <c r="E669" s="102" t="e">
        <f t="shared" ca="1" si="120"/>
        <v>#REF!</v>
      </c>
      <c r="F669" s="102" t="e">
        <f t="shared" ca="1" si="121"/>
        <v>#REF!</v>
      </c>
      <c r="G669" s="103">
        <f t="shared" ca="1" si="122"/>
        <v>0.40290814443645162</v>
      </c>
      <c r="H669" s="103">
        <f t="shared" ca="1" si="123"/>
        <v>0.22220454875487036</v>
      </c>
      <c r="I669" s="103" t="e">
        <f t="shared" ca="1" si="124"/>
        <v>#REF!</v>
      </c>
      <c r="J669" s="103" t="e">
        <f t="shared" ca="1" si="125"/>
        <v>#REF!</v>
      </c>
      <c r="K669" s="103" t="e">
        <f t="shared" ca="1" si="126"/>
        <v>#REF!</v>
      </c>
      <c r="L669" s="103" t="e">
        <f t="shared" ca="1" si="127"/>
        <v>#REF!</v>
      </c>
      <c r="M669" s="103" t="e">
        <f t="shared" ca="1" si="128"/>
        <v>#REF!</v>
      </c>
      <c r="N669" s="104" t="e">
        <f t="shared" ca="1" si="129"/>
        <v>#REF!</v>
      </c>
    </row>
    <row r="670" spans="1:14">
      <c r="A670" s="96">
        <v>632</v>
      </c>
      <c r="B670" s="102" t="e">
        <f t="shared" ca="1" si="117"/>
        <v>#REF!</v>
      </c>
      <c r="C670" s="102" t="e">
        <f t="shared" ca="1" si="118"/>
        <v>#REF!</v>
      </c>
      <c r="D670" s="102" t="e">
        <f t="shared" ca="1" si="119"/>
        <v>#REF!</v>
      </c>
      <c r="E670" s="102" t="e">
        <f t="shared" ca="1" si="120"/>
        <v>#REF!</v>
      </c>
      <c r="F670" s="102" t="e">
        <f t="shared" ca="1" si="121"/>
        <v>#REF!</v>
      </c>
      <c r="G670" s="103">
        <f t="shared" ca="1" si="122"/>
        <v>0.41938037232355552</v>
      </c>
      <c r="H670" s="103">
        <f t="shared" ca="1" si="123"/>
        <v>0.18888356110036364</v>
      </c>
      <c r="I670" s="103" t="e">
        <f t="shared" ca="1" si="124"/>
        <v>#REF!</v>
      </c>
      <c r="J670" s="103" t="e">
        <f t="shared" ca="1" si="125"/>
        <v>#REF!</v>
      </c>
      <c r="K670" s="103" t="e">
        <f t="shared" ca="1" si="126"/>
        <v>#REF!</v>
      </c>
      <c r="L670" s="103" t="e">
        <f t="shared" ca="1" si="127"/>
        <v>#REF!</v>
      </c>
      <c r="M670" s="103" t="e">
        <f t="shared" ca="1" si="128"/>
        <v>#REF!</v>
      </c>
      <c r="N670" s="104" t="e">
        <f t="shared" ca="1" si="129"/>
        <v>#REF!</v>
      </c>
    </row>
    <row r="671" spans="1:14">
      <c r="A671" s="95">
        <v>633</v>
      </c>
      <c r="B671" s="102" t="e">
        <f t="shared" ca="1" si="117"/>
        <v>#REF!</v>
      </c>
      <c r="C671" s="102" t="e">
        <f t="shared" ca="1" si="118"/>
        <v>#REF!</v>
      </c>
      <c r="D671" s="102" t="e">
        <f t="shared" ca="1" si="119"/>
        <v>#REF!</v>
      </c>
      <c r="E671" s="102" t="e">
        <f t="shared" ca="1" si="120"/>
        <v>#REF!</v>
      </c>
      <c r="F671" s="102" t="e">
        <f t="shared" ca="1" si="121"/>
        <v>#REF!</v>
      </c>
      <c r="G671" s="103">
        <f t="shared" ca="1" si="122"/>
        <v>0.45163113617210909</v>
      </c>
      <c r="H671" s="103">
        <f t="shared" ca="1" si="123"/>
        <v>0.19314482289774149</v>
      </c>
      <c r="I671" s="103" t="e">
        <f t="shared" ca="1" si="124"/>
        <v>#REF!</v>
      </c>
      <c r="J671" s="103" t="e">
        <f t="shared" ca="1" si="125"/>
        <v>#REF!</v>
      </c>
      <c r="K671" s="103" t="e">
        <f t="shared" ca="1" si="126"/>
        <v>#REF!</v>
      </c>
      <c r="L671" s="103" t="e">
        <f t="shared" ca="1" si="127"/>
        <v>#REF!</v>
      </c>
      <c r="M671" s="103" t="e">
        <f t="shared" ca="1" si="128"/>
        <v>#REF!</v>
      </c>
      <c r="N671" s="104" t="e">
        <f t="shared" ca="1" si="129"/>
        <v>#REF!</v>
      </c>
    </row>
    <row r="672" spans="1:14">
      <c r="A672" s="96">
        <v>634</v>
      </c>
      <c r="B672" s="102" t="e">
        <f t="shared" ca="1" si="117"/>
        <v>#REF!</v>
      </c>
      <c r="C672" s="102" t="e">
        <f t="shared" ca="1" si="118"/>
        <v>#REF!</v>
      </c>
      <c r="D672" s="102" t="e">
        <f t="shared" ca="1" si="119"/>
        <v>#REF!</v>
      </c>
      <c r="E672" s="102" t="e">
        <f t="shared" ca="1" si="120"/>
        <v>#REF!</v>
      </c>
      <c r="F672" s="102" t="e">
        <f t="shared" ca="1" si="121"/>
        <v>#REF!</v>
      </c>
      <c r="G672" s="103">
        <f t="shared" ca="1" si="122"/>
        <v>0.41092473124610107</v>
      </c>
      <c r="H672" s="103">
        <f t="shared" ca="1" si="123"/>
        <v>0.21146532151719324</v>
      </c>
      <c r="I672" s="103" t="e">
        <f t="shared" ca="1" si="124"/>
        <v>#REF!</v>
      </c>
      <c r="J672" s="103" t="e">
        <f t="shared" ca="1" si="125"/>
        <v>#REF!</v>
      </c>
      <c r="K672" s="103" t="e">
        <f t="shared" ca="1" si="126"/>
        <v>#REF!</v>
      </c>
      <c r="L672" s="103" t="e">
        <f t="shared" ca="1" si="127"/>
        <v>#REF!</v>
      </c>
      <c r="M672" s="103" t="e">
        <f t="shared" ca="1" si="128"/>
        <v>#REF!</v>
      </c>
      <c r="N672" s="104" t="e">
        <f t="shared" ca="1" si="129"/>
        <v>#REF!</v>
      </c>
    </row>
    <row r="673" spans="1:14">
      <c r="A673" s="95">
        <v>635</v>
      </c>
      <c r="B673" s="102" t="e">
        <f t="shared" ca="1" si="117"/>
        <v>#REF!</v>
      </c>
      <c r="C673" s="102" t="e">
        <f t="shared" ca="1" si="118"/>
        <v>#REF!</v>
      </c>
      <c r="D673" s="102" t="e">
        <f t="shared" ca="1" si="119"/>
        <v>#REF!</v>
      </c>
      <c r="E673" s="102" t="e">
        <f t="shared" ca="1" si="120"/>
        <v>#REF!</v>
      </c>
      <c r="F673" s="102" t="e">
        <f t="shared" ca="1" si="121"/>
        <v>#REF!</v>
      </c>
      <c r="G673" s="103">
        <f t="shared" ca="1" si="122"/>
        <v>0.40181944576469086</v>
      </c>
      <c r="H673" s="103">
        <f t="shared" ca="1" si="123"/>
        <v>0.19744765206873627</v>
      </c>
      <c r="I673" s="103" t="e">
        <f t="shared" ca="1" si="124"/>
        <v>#REF!</v>
      </c>
      <c r="J673" s="103" t="e">
        <f t="shared" ca="1" si="125"/>
        <v>#REF!</v>
      </c>
      <c r="K673" s="103" t="e">
        <f t="shared" ca="1" si="126"/>
        <v>#REF!</v>
      </c>
      <c r="L673" s="103" t="e">
        <f t="shared" ca="1" si="127"/>
        <v>#REF!</v>
      </c>
      <c r="M673" s="103" t="e">
        <f t="shared" ca="1" si="128"/>
        <v>#REF!</v>
      </c>
      <c r="N673" s="104" t="e">
        <f t="shared" ca="1" si="129"/>
        <v>#REF!</v>
      </c>
    </row>
    <row r="674" spans="1:14">
      <c r="A674" s="96">
        <v>636</v>
      </c>
      <c r="B674" s="102" t="e">
        <f t="shared" ca="1" si="117"/>
        <v>#REF!</v>
      </c>
      <c r="C674" s="102" t="e">
        <f t="shared" ca="1" si="118"/>
        <v>#REF!</v>
      </c>
      <c r="D674" s="102" t="e">
        <f t="shared" ca="1" si="119"/>
        <v>#REF!</v>
      </c>
      <c r="E674" s="102" t="e">
        <f t="shared" ca="1" si="120"/>
        <v>#REF!</v>
      </c>
      <c r="F674" s="102" t="e">
        <f t="shared" ca="1" si="121"/>
        <v>#REF!</v>
      </c>
      <c r="G674" s="103">
        <f t="shared" ca="1" si="122"/>
        <v>0.48664200105455041</v>
      </c>
      <c r="H674" s="103">
        <f t="shared" ca="1" si="123"/>
        <v>0.23073402926368825</v>
      </c>
      <c r="I674" s="103" t="e">
        <f t="shared" ca="1" si="124"/>
        <v>#REF!</v>
      </c>
      <c r="J674" s="103" t="e">
        <f t="shared" ca="1" si="125"/>
        <v>#REF!</v>
      </c>
      <c r="K674" s="103" t="e">
        <f t="shared" ca="1" si="126"/>
        <v>#REF!</v>
      </c>
      <c r="L674" s="103" t="e">
        <f t="shared" ca="1" si="127"/>
        <v>#REF!</v>
      </c>
      <c r="M674" s="103" t="e">
        <f t="shared" ca="1" si="128"/>
        <v>#REF!</v>
      </c>
      <c r="N674" s="104" t="e">
        <f t="shared" ca="1" si="129"/>
        <v>#REF!</v>
      </c>
    </row>
    <row r="675" spans="1:14">
      <c r="A675" s="95">
        <v>637</v>
      </c>
      <c r="B675" s="102" t="e">
        <f t="shared" ca="1" si="117"/>
        <v>#REF!</v>
      </c>
      <c r="C675" s="102" t="e">
        <f t="shared" ca="1" si="118"/>
        <v>#REF!</v>
      </c>
      <c r="D675" s="102" t="e">
        <f t="shared" ca="1" si="119"/>
        <v>#REF!</v>
      </c>
      <c r="E675" s="102" t="e">
        <f t="shared" ca="1" si="120"/>
        <v>#REF!</v>
      </c>
      <c r="F675" s="102" t="e">
        <f t="shared" ca="1" si="121"/>
        <v>#REF!</v>
      </c>
      <c r="G675" s="103">
        <f t="shared" ca="1" si="122"/>
        <v>0.38490891927960225</v>
      </c>
      <c r="H675" s="103">
        <f t="shared" ca="1" si="123"/>
        <v>0.20085669269025799</v>
      </c>
      <c r="I675" s="103" t="e">
        <f t="shared" ca="1" si="124"/>
        <v>#REF!</v>
      </c>
      <c r="J675" s="103" t="e">
        <f t="shared" ca="1" si="125"/>
        <v>#REF!</v>
      </c>
      <c r="K675" s="103" t="e">
        <f t="shared" ca="1" si="126"/>
        <v>#REF!</v>
      </c>
      <c r="L675" s="103" t="e">
        <f t="shared" ca="1" si="127"/>
        <v>#REF!</v>
      </c>
      <c r="M675" s="103" t="e">
        <f t="shared" ca="1" si="128"/>
        <v>#REF!</v>
      </c>
      <c r="N675" s="104" t="e">
        <f t="shared" ca="1" si="129"/>
        <v>#REF!</v>
      </c>
    </row>
    <row r="676" spans="1:14">
      <c r="A676" s="96">
        <v>638</v>
      </c>
      <c r="B676" s="102" t="e">
        <f t="shared" ca="1" si="117"/>
        <v>#REF!</v>
      </c>
      <c r="C676" s="102" t="e">
        <f t="shared" ca="1" si="118"/>
        <v>#REF!</v>
      </c>
      <c r="D676" s="102" t="e">
        <f t="shared" ca="1" si="119"/>
        <v>#REF!</v>
      </c>
      <c r="E676" s="102" t="e">
        <f t="shared" ca="1" si="120"/>
        <v>#REF!</v>
      </c>
      <c r="F676" s="102" t="e">
        <f t="shared" ca="1" si="121"/>
        <v>#REF!</v>
      </c>
      <c r="G676" s="103">
        <f t="shared" ca="1" si="122"/>
        <v>0.45318016512207532</v>
      </c>
      <c r="H676" s="103">
        <f t="shared" ca="1" si="123"/>
        <v>0.2161489416239584</v>
      </c>
      <c r="I676" s="103" t="e">
        <f t="shared" ca="1" si="124"/>
        <v>#REF!</v>
      </c>
      <c r="J676" s="103" t="e">
        <f t="shared" ca="1" si="125"/>
        <v>#REF!</v>
      </c>
      <c r="K676" s="103" t="e">
        <f t="shared" ca="1" si="126"/>
        <v>#REF!</v>
      </c>
      <c r="L676" s="103" t="e">
        <f t="shared" ca="1" si="127"/>
        <v>#REF!</v>
      </c>
      <c r="M676" s="103" t="e">
        <f t="shared" ca="1" si="128"/>
        <v>#REF!</v>
      </c>
      <c r="N676" s="104" t="e">
        <f t="shared" ca="1" si="129"/>
        <v>#REF!</v>
      </c>
    </row>
    <row r="677" spans="1:14">
      <c r="A677" s="95">
        <v>639</v>
      </c>
      <c r="B677" s="102" t="e">
        <f t="shared" ca="1" si="117"/>
        <v>#REF!</v>
      </c>
      <c r="C677" s="102" t="e">
        <f t="shared" ca="1" si="118"/>
        <v>#REF!</v>
      </c>
      <c r="D677" s="102" t="e">
        <f t="shared" ca="1" si="119"/>
        <v>#REF!</v>
      </c>
      <c r="E677" s="102" t="e">
        <f t="shared" ca="1" si="120"/>
        <v>#REF!</v>
      </c>
      <c r="F677" s="102" t="e">
        <f t="shared" ca="1" si="121"/>
        <v>#REF!</v>
      </c>
      <c r="G677" s="103">
        <f t="shared" ca="1" si="122"/>
        <v>0.44396709841007093</v>
      </c>
      <c r="H677" s="103">
        <f t="shared" ca="1" si="123"/>
        <v>0.20413097376067313</v>
      </c>
      <c r="I677" s="103" t="e">
        <f t="shared" ca="1" si="124"/>
        <v>#REF!</v>
      </c>
      <c r="J677" s="103" t="e">
        <f t="shared" ca="1" si="125"/>
        <v>#REF!</v>
      </c>
      <c r="K677" s="103" t="e">
        <f t="shared" ca="1" si="126"/>
        <v>#REF!</v>
      </c>
      <c r="L677" s="103" t="e">
        <f t="shared" ca="1" si="127"/>
        <v>#REF!</v>
      </c>
      <c r="M677" s="103" t="e">
        <f t="shared" ca="1" si="128"/>
        <v>#REF!</v>
      </c>
      <c r="N677" s="104" t="e">
        <f t="shared" ca="1" si="129"/>
        <v>#REF!</v>
      </c>
    </row>
    <row r="678" spans="1:14">
      <c r="A678" s="96">
        <v>640</v>
      </c>
      <c r="B678" s="102" t="e">
        <f t="shared" ca="1" si="117"/>
        <v>#REF!</v>
      </c>
      <c r="C678" s="102" t="e">
        <f t="shared" ca="1" si="118"/>
        <v>#REF!</v>
      </c>
      <c r="D678" s="102" t="e">
        <f t="shared" ca="1" si="119"/>
        <v>#REF!</v>
      </c>
      <c r="E678" s="102" t="e">
        <f t="shared" ca="1" si="120"/>
        <v>#REF!</v>
      </c>
      <c r="F678" s="102" t="e">
        <f t="shared" ca="1" si="121"/>
        <v>#REF!</v>
      </c>
      <c r="G678" s="103">
        <f t="shared" ca="1" si="122"/>
        <v>0.43332154996807737</v>
      </c>
      <c r="H678" s="103">
        <f t="shared" ca="1" si="123"/>
        <v>0.20166713815639398</v>
      </c>
      <c r="I678" s="103" t="e">
        <f t="shared" ca="1" si="124"/>
        <v>#REF!</v>
      </c>
      <c r="J678" s="103" t="e">
        <f t="shared" ca="1" si="125"/>
        <v>#REF!</v>
      </c>
      <c r="K678" s="103" t="e">
        <f t="shared" ca="1" si="126"/>
        <v>#REF!</v>
      </c>
      <c r="L678" s="103" t="e">
        <f t="shared" ca="1" si="127"/>
        <v>#REF!</v>
      </c>
      <c r="M678" s="103" t="e">
        <f t="shared" ca="1" si="128"/>
        <v>#REF!</v>
      </c>
      <c r="N678" s="104" t="e">
        <f t="shared" ca="1" si="129"/>
        <v>#REF!</v>
      </c>
    </row>
    <row r="679" spans="1:14">
      <c r="A679" s="95">
        <v>641</v>
      </c>
      <c r="B679" s="102" t="e">
        <f t="shared" ca="1" si="117"/>
        <v>#REF!</v>
      </c>
      <c r="C679" s="102" t="e">
        <f t="shared" ca="1" si="118"/>
        <v>#REF!</v>
      </c>
      <c r="D679" s="102" t="e">
        <f t="shared" ca="1" si="119"/>
        <v>#REF!</v>
      </c>
      <c r="E679" s="102" t="e">
        <f t="shared" ca="1" si="120"/>
        <v>#REF!</v>
      </c>
      <c r="F679" s="102" t="e">
        <f t="shared" ca="1" si="121"/>
        <v>#REF!</v>
      </c>
      <c r="G679" s="103">
        <f t="shared" ca="1" si="122"/>
        <v>0.43183612271387134</v>
      </c>
      <c r="H679" s="103">
        <f t="shared" ca="1" si="123"/>
        <v>0.18936850035563454</v>
      </c>
      <c r="I679" s="103" t="e">
        <f t="shared" ca="1" si="124"/>
        <v>#REF!</v>
      </c>
      <c r="J679" s="103" t="e">
        <f t="shared" ca="1" si="125"/>
        <v>#REF!</v>
      </c>
      <c r="K679" s="103" t="e">
        <f t="shared" ca="1" si="126"/>
        <v>#REF!</v>
      </c>
      <c r="L679" s="103" t="e">
        <f t="shared" ca="1" si="127"/>
        <v>#REF!</v>
      </c>
      <c r="M679" s="103" t="e">
        <f t="shared" ca="1" si="128"/>
        <v>#REF!</v>
      </c>
      <c r="N679" s="104" t="e">
        <f t="shared" ca="1" si="129"/>
        <v>#REF!</v>
      </c>
    </row>
    <row r="680" spans="1:14">
      <c r="A680" s="96">
        <v>642</v>
      </c>
      <c r="B680" s="102" t="e">
        <f t="shared" ref="B680:B743" ca="1" si="130">_xlfn.LOGNORM.INV(RAND(),$D$5,$E$5)</f>
        <v>#REF!</v>
      </c>
      <c r="C680" s="102" t="e">
        <f t="shared" ref="C680:C743" ca="1" si="131">_xlfn.LOGNORM.INV(RAND(),$D$6,$E$6)</f>
        <v>#REF!</v>
      </c>
      <c r="D680" s="102" t="e">
        <f t="shared" ref="D680:D743" ca="1" si="132">_xlfn.LOGNORM.INV(RAND(),$D$7,$E$7)</f>
        <v>#REF!</v>
      </c>
      <c r="E680" s="102" t="e">
        <f t="shared" ref="E680:E743" ca="1" si="133">_xlfn.LOGNORM.INV(RAND(),$D$8,$E$8)</f>
        <v>#REF!</v>
      </c>
      <c r="F680" s="102" t="e">
        <f t="shared" ref="F680:F743" ca="1" si="134">_xlfn.LOGNORM.INV(RAND(),$D$9,$E$9)</f>
        <v>#REF!</v>
      </c>
      <c r="G680" s="103">
        <f t="shared" ref="G680:G743" ca="1" si="135">_xlfn.NORM.INV(RAND(),$B$12,$C$12)</f>
        <v>0.45394608336496961</v>
      </c>
      <c r="H680" s="103">
        <f t="shared" ref="H680:H743" ca="1" si="136">_xlfn.NORM.INV(RAND(),$B$13,$C$13)</f>
        <v>0.18024354394369221</v>
      </c>
      <c r="I680" s="103" t="e">
        <f t="shared" ref="I680:I743" ca="1" si="137">G680*($E$16/24)+H680*(1-$E$16/24)</f>
        <v>#REF!</v>
      </c>
      <c r="J680" s="103" t="e">
        <f t="shared" ref="J680:J743" ca="1" si="138">G680*($E$17/24)+H680*(1-$E$17/24)</f>
        <v>#REF!</v>
      </c>
      <c r="K680" s="103" t="e">
        <f t="shared" ref="K680:K743" ca="1" si="139">G680*($E$18/24)+H680*(1-$E$18/24)</f>
        <v>#REF!</v>
      </c>
      <c r="L680" s="103" t="e">
        <f t="shared" ref="L680:L743" ca="1" si="140">G680*($E$19/24)+H680*(1-$E$19/24)</f>
        <v>#REF!</v>
      </c>
      <c r="M680" s="103" t="e">
        <f t="shared" ref="M680:M743" ca="1" si="141">G680*($E$20/24)+H680*(1-$E$20/24)</f>
        <v>#REF!</v>
      </c>
      <c r="N680" s="104" t="e">
        <f t="shared" ref="N680:N743" ca="1" si="142">B680*$B$16+C680*$B$17+D680*$B$18+E680*$B$19+F680*$B$20-($C$16*$D$16*I680+$C$17*$D$17*J680+$C$18*$D$18*K680+$C$19*$D$19*L680+$C$20*$D$20*M680)</f>
        <v>#REF!</v>
      </c>
    </row>
    <row r="681" spans="1:14">
      <c r="A681" s="95">
        <v>643</v>
      </c>
      <c r="B681" s="102" t="e">
        <f t="shared" ca="1" si="130"/>
        <v>#REF!</v>
      </c>
      <c r="C681" s="102" t="e">
        <f t="shared" ca="1" si="131"/>
        <v>#REF!</v>
      </c>
      <c r="D681" s="102" t="e">
        <f t="shared" ca="1" si="132"/>
        <v>#REF!</v>
      </c>
      <c r="E681" s="102" t="e">
        <f t="shared" ca="1" si="133"/>
        <v>#REF!</v>
      </c>
      <c r="F681" s="102" t="e">
        <f t="shared" ca="1" si="134"/>
        <v>#REF!</v>
      </c>
      <c r="G681" s="103">
        <f t="shared" ca="1" si="135"/>
        <v>0.46406203957597986</v>
      </c>
      <c r="H681" s="103">
        <f t="shared" ca="1" si="136"/>
        <v>0.22677026994659874</v>
      </c>
      <c r="I681" s="103" t="e">
        <f t="shared" ca="1" si="137"/>
        <v>#REF!</v>
      </c>
      <c r="J681" s="103" t="e">
        <f t="shared" ca="1" si="138"/>
        <v>#REF!</v>
      </c>
      <c r="K681" s="103" t="e">
        <f t="shared" ca="1" si="139"/>
        <v>#REF!</v>
      </c>
      <c r="L681" s="103" t="e">
        <f t="shared" ca="1" si="140"/>
        <v>#REF!</v>
      </c>
      <c r="M681" s="103" t="e">
        <f t="shared" ca="1" si="141"/>
        <v>#REF!</v>
      </c>
      <c r="N681" s="104" t="e">
        <f t="shared" ca="1" si="142"/>
        <v>#REF!</v>
      </c>
    </row>
    <row r="682" spans="1:14">
      <c r="A682" s="96">
        <v>644</v>
      </c>
      <c r="B682" s="102" t="e">
        <f t="shared" ca="1" si="130"/>
        <v>#REF!</v>
      </c>
      <c r="C682" s="102" t="e">
        <f t="shared" ca="1" si="131"/>
        <v>#REF!</v>
      </c>
      <c r="D682" s="102" t="e">
        <f t="shared" ca="1" si="132"/>
        <v>#REF!</v>
      </c>
      <c r="E682" s="102" t="e">
        <f t="shared" ca="1" si="133"/>
        <v>#REF!</v>
      </c>
      <c r="F682" s="102" t="e">
        <f t="shared" ca="1" si="134"/>
        <v>#REF!</v>
      </c>
      <c r="G682" s="103">
        <f t="shared" ca="1" si="135"/>
        <v>0.38456087483986251</v>
      </c>
      <c r="H682" s="103">
        <f t="shared" ca="1" si="136"/>
        <v>0.19959789601889005</v>
      </c>
      <c r="I682" s="103" t="e">
        <f t="shared" ca="1" si="137"/>
        <v>#REF!</v>
      </c>
      <c r="J682" s="103" t="e">
        <f t="shared" ca="1" si="138"/>
        <v>#REF!</v>
      </c>
      <c r="K682" s="103" t="e">
        <f t="shared" ca="1" si="139"/>
        <v>#REF!</v>
      </c>
      <c r="L682" s="103" t="e">
        <f t="shared" ca="1" si="140"/>
        <v>#REF!</v>
      </c>
      <c r="M682" s="103" t="e">
        <f t="shared" ca="1" si="141"/>
        <v>#REF!</v>
      </c>
      <c r="N682" s="104" t="e">
        <f t="shared" ca="1" si="142"/>
        <v>#REF!</v>
      </c>
    </row>
    <row r="683" spans="1:14">
      <c r="A683" s="95">
        <v>645</v>
      </c>
      <c r="B683" s="102" t="e">
        <f t="shared" ca="1" si="130"/>
        <v>#REF!</v>
      </c>
      <c r="C683" s="102" t="e">
        <f t="shared" ca="1" si="131"/>
        <v>#REF!</v>
      </c>
      <c r="D683" s="102" t="e">
        <f t="shared" ca="1" si="132"/>
        <v>#REF!</v>
      </c>
      <c r="E683" s="102" t="e">
        <f t="shared" ca="1" si="133"/>
        <v>#REF!</v>
      </c>
      <c r="F683" s="102" t="e">
        <f t="shared" ca="1" si="134"/>
        <v>#REF!</v>
      </c>
      <c r="G683" s="103">
        <f t="shared" ca="1" si="135"/>
        <v>0.43927373827225003</v>
      </c>
      <c r="H683" s="103">
        <f t="shared" ca="1" si="136"/>
        <v>0.19570115809797245</v>
      </c>
      <c r="I683" s="103" t="e">
        <f t="shared" ca="1" si="137"/>
        <v>#REF!</v>
      </c>
      <c r="J683" s="103" t="e">
        <f t="shared" ca="1" si="138"/>
        <v>#REF!</v>
      </c>
      <c r="K683" s="103" t="e">
        <f t="shared" ca="1" si="139"/>
        <v>#REF!</v>
      </c>
      <c r="L683" s="103" t="e">
        <f t="shared" ca="1" si="140"/>
        <v>#REF!</v>
      </c>
      <c r="M683" s="103" t="e">
        <f t="shared" ca="1" si="141"/>
        <v>#REF!</v>
      </c>
      <c r="N683" s="104" t="e">
        <f t="shared" ca="1" si="142"/>
        <v>#REF!</v>
      </c>
    </row>
    <row r="684" spans="1:14">
      <c r="A684" s="96">
        <v>646</v>
      </c>
      <c r="B684" s="102" t="e">
        <f t="shared" ca="1" si="130"/>
        <v>#REF!</v>
      </c>
      <c r="C684" s="102" t="e">
        <f t="shared" ca="1" si="131"/>
        <v>#REF!</v>
      </c>
      <c r="D684" s="102" t="e">
        <f t="shared" ca="1" si="132"/>
        <v>#REF!</v>
      </c>
      <c r="E684" s="102" t="e">
        <f t="shared" ca="1" si="133"/>
        <v>#REF!</v>
      </c>
      <c r="F684" s="102" t="e">
        <f t="shared" ca="1" si="134"/>
        <v>#REF!</v>
      </c>
      <c r="G684" s="103">
        <f t="shared" ca="1" si="135"/>
        <v>0.42512180665788185</v>
      </c>
      <c r="H684" s="103">
        <f t="shared" ca="1" si="136"/>
        <v>0.19877439046784207</v>
      </c>
      <c r="I684" s="103" t="e">
        <f t="shared" ca="1" si="137"/>
        <v>#REF!</v>
      </c>
      <c r="J684" s="103" t="e">
        <f t="shared" ca="1" si="138"/>
        <v>#REF!</v>
      </c>
      <c r="K684" s="103" t="e">
        <f t="shared" ca="1" si="139"/>
        <v>#REF!</v>
      </c>
      <c r="L684" s="103" t="e">
        <f t="shared" ca="1" si="140"/>
        <v>#REF!</v>
      </c>
      <c r="M684" s="103" t="e">
        <f t="shared" ca="1" si="141"/>
        <v>#REF!</v>
      </c>
      <c r="N684" s="104" t="e">
        <f t="shared" ca="1" si="142"/>
        <v>#REF!</v>
      </c>
    </row>
    <row r="685" spans="1:14">
      <c r="A685" s="95">
        <v>647</v>
      </c>
      <c r="B685" s="102" t="e">
        <f t="shared" ca="1" si="130"/>
        <v>#REF!</v>
      </c>
      <c r="C685" s="102" t="e">
        <f t="shared" ca="1" si="131"/>
        <v>#REF!</v>
      </c>
      <c r="D685" s="102" t="e">
        <f t="shared" ca="1" si="132"/>
        <v>#REF!</v>
      </c>
      <c r="E685" s="102" t="e">
        <f t="shared" ca="1" si="133"/>
        <v>#REF!</v>
      </c>
      <c r="F685" s="102" t="e">
        <f t="shared" ca="1" si="134"/>
        <v>#REF!</v>
      </c>
      <c r="G685" s="103">
        <f t="shared" ca="1" si="135"/>
        <v>0.42298731526680761</v>
      </c>
      <c r="H685" s="103">
        <f t="shared" ca="1" si="136"/>
        <v>0.21468619208041034</v>
      </c>
      <c r="I685" s="103" t="e">
        <f t="shared" ca="1" si="137"/>
        <v>#REF!</v>
      </c>
      <c r="J685" s="103" t="e">
        <f t="shared" ca="1" si="138"/>
        <v>#REF!</v>
      </c>
      <c r="K685" s="103" t="e">
        <f t="shared" ca="1" si="139"/>
        <v>#REF!</v>
      </c>
      <c r="L685" s="103" t="e">
        <f t="shared" ca="1" si="140"/>
        <v>#REF!</v>
      </c>
      <c r="M685" s="103" t="e">
        <f t="shared" ca="1" si="141"/>
        <v>#REF!</v>
      </c>
      <c r="N685" s="104" t="e">
        <f t="shared" ca="1" si="142"/>
        <v>#REF!</v>
      </c>
    </row>
    <row r="686" spans="1:14">
      <c r="A686" s="96">
        <v>648</v>
      </c>
      <c r="B686" s="102" t="e">
        <f t="shared" ca="1" si="130"/>
        <v>#REF!</v>
      </c>
      <c r="C686" s="102" t="e">
        <f t="shared" ca="1" si="131"/>
        <v>#REF!</v>
      </c>
      <c r="D686" s="102" t="e">
        <f t="shared" ca="1" si="132"/>
        <v>#REF!</v>
      </c>
      <c r="E686" s="102" t="e">
        <f t="shared" ca="1" si="133"/>
        <v>#REF!</v>
      </c>
      <c r="F686" s="102" t="e">
        <f t="shared" ca="1" si="134"/>
        <v>#REF!</v>
      </c>
      <c r="G686" s="103">
        <f t="shared" ca="1" si="135"/>
        <v>0.42545325125891992</v>
      </c>
      <c r="H686" s="103">
        <f t="shared" ca="1" si="136"/>
        <v>0.1977418667388765</v>
      </c>
      <c r="I686" s="103" t="e">
        <f t="shared" ca="1" si="137"/>
        <v>#REF!</v>
      </c>
      <c r="J686" s="103" t="e">
        <f t="shared" ca="1" si="138"/>
        <v>#REF!</v>
      </c>
      <c r="K686" s="103" t="e">
        <f t="shared" ca="1" si="139"/>
        <v>#REF!</v>
      </c>
      <c r="L686" s="103" t="e">
        <f t="shared" ca="1" si="140"/>
        <v>#REF!</v>
      </c>
      <c r="M686" s="103" t="e">
        <f t="shared" ca="1" si="141"/>
        <v>#REF!</v>
      </c>
      <c r="N686" s="104" t="e">
        <f t="shared" ca="1" si="142"/>
        <v>#REF!</v>
      </c>
    </row>
    <row r="687" spans="1:14">
      <c r="A687" s="95">
        <v>649</v>
      </c>
      <c r="B687" s="102" t="e">
        <f t="shared" ca="1" si="130"/>
        <v>#REF!</v>
      </c>
      <c r="C687" s="102" t="e">
        <f t="shared" ca="1" si="131"/>
        <v>#REF!</v>
      </c>
      <c r="D687" s="102" t="e">
        <f t="shared" ca="1" si="132"/>
        <v>#REF!</v>
      </c>
      <c r="E687" s="102" t="e">
        <f t="shared" ca="1" si="133"/>
        <v>#REF!</v>
      </c>
      <c r="F687" s="102" t="e">
        <f t="shared" ca="1" si="134"/>
        <v>#REF!</v>
      </c>
      <c r="G687" s="103">
        <f t="shared" ca="1" si="135"/>
        <v>0.42850914085138542</v>
      </c>
      <c r="H687" s="103">
        <f t="shared" ca="1" si="136"/>
        <v>0.22017007568728575</v>
      </c>
      <c r="I687" s="103" t="e">
        <f t="shared" ca="1" si="137"/>
        <v>#REF!</v>
      </c>
      <c r="J687" s="103" t="e">
        <f t="shared" ca="1" si="138"/>
        <v>#REF!</v>
      </c>
      <c r="K687" s="103" t="e">
        <f t="shared" ca="1" si="139"/>
        <v>#REF!</v>
      </c>
      <c r="L687" s="103" t="e">
        <f t="shared" ca="1" si="140"/>
        <v>#REF!</v>
      </c>
      <c r="M687" s="103" t="e">
        <f t="shared" ca="1" si="141"/>
        <v>#REF!</v>
      </c>
      <c r="N687" s="104" t="e">
        <f t="shared" ca="1" si="142"/>
        <v>#REF!</v>
      </c>
    </row>
    <row r="688" spans="1:14">
      <c r="A688" s="96">
        <v>650</v>
      </c>
      <c r="B688" s="102" t="e">
        <f t="shared" ca="1" si="130"/>
        <v>#REF!</v>
      </c>
      <c r="C688" s="102" t="e">
        <f t="shared" ca="1" si="131"/>
        <v>#REF!</v>
      </c>
      <c r="D688" s="102" t="e">
        <f t="shared" ca="1" si="132"/>
        <v>#REF!</v>
      </c>
      <c r="E688" s="102" t="e">
        <f t="shared" ca="1" si="133"/>
        <v>#REF!</v>
      </c>
      <c r="F688" s="102" t="e">
        <f t="shared" ca="1" si="134"/>
        <v>#REF!</v>
      </c>
      <c r="G688" s="103">
        <f t="shared" ca="1" si="135"/>
        <v>0.45578220746207332</v>
      </c>
      <c r="H688" s="103">
        <f t="shared" ca="1" si="136"/>
        <v>0.18554183969405907</v>
      </c>
      <c r="I688" s="103" t="e">
        <f t="shared" ca="1" si="137"/>
        <v>#REF!</v>
      </c>
      <c r="J688" s="103" t="e">
        <f t="shared" ca="1" si="138"/>
        <v>#REF!</v>
      </c>
      <c r="K688" s="103" t="e">
        <f t="shared" ca="1" si="139"/>
        <v>#REF!</v>
      </c>
      <c r="L688" s="103" t="e">
        <f t="shared" ca="1" si="140"/>
        <v>#REF!</v>
      </c>
      <c r="M688" s="103" t="e">
        <f t="shared" ca="1" si="141"/>
        <v>#REF!</v>
      </c>
      <c r="N688" s="104" t="e">
        <f t="shared" ca="1" si="142"/>
        <v>#REF!</v>
      </c>
    </row>
    <row r="689" spans="1:14">
      <c r="A689" s="95">
        <v>651</v>
      </c>
      <c r="B689" s="102" t="e">
        <f t="shared" ca="1" si="130"/>
        <v>#REF!</v>
      </c>
      <c r="C689" s="102" t="e">
        <f t="shared" ca="1" si="131"/>
        <v>#REF!</v>
      </c>
      <c r="D689" s="102" t="e">
        <f t="shared" ca="1" si="132"/>
        <v>#REF!</v>
      </c>
      <c r="E689" s="102" t="e">
        <f t="shared" ca="1" si="133"/>
        <v>#REF!</v>
      </c>
      <c r="F689" s="102" t="e">
        <f t="shared" ca="1" si="134"/>
        <v>#REF!</v>
      </c>
      <c r="G689" s="103">
        <f t="shared" ca="1" si="135"/>
        <v>0.39810879352860135</v>
      </c>
      <c r="H689" s="103">
        <f t="shared" ca="1" si="136"/>
        <v>0.20621007299936009</v>
      </c>
      <c r="I689" s="103" t="e">
        <f t="shared" ca="1" si="137"/>
        <v>#REF!</v>
      </c>
      <c r="J689" s="103" t="e">
        <f t="shared" ca="1" si="138"/>
        <v>#REF!</v>
      </c>
      <c r="K689" s="103" t="e">
        <f t="shared" ca="1" si="139"/>
        <v>#REF!</v>
      </c>
      <c r="L689" s="103" t="e">
        <f t="shared" ca="1" si="140"/>
        <v>#REF!</v>
      </c>
      <c r="M689" s="103" t="e">
        <f t="shared" ca="1" si="141"/>
        <v>#REF!</v>
      </c>
      <c r="N689" s="104" t="e">
        <f t="shared" ca="1" si="142"/>
        <v>#REF!</v>
      </c>
    </row>
    <row r="690" spans="1:14">
      <c r="A690" s="96">
        <v>652</v>
      </c>
      <c r="B690" s="102" t="e">
        <f t="shared" ca="1" si="130"/>
        <v>#REF!</v>
      </c>
      <c r="C690" s="102" t="e">
        <f t="shared" ca="1" si="131"/>
        <v>#REF!</v>
      </c>
      <c r="D690" s="102" t="e">
        <f t="shared" ca="1" si="132"/>
        <v>#REF!</v>
      </c>
      <c r="E690" s="102" t="e">
        <f t="shared" ca="1" si="133"/>
        <v>#REF!</v>
      </c>
      <c r="F690" s="102" t="e">
        <f t="shared" ca="1" si="134"/>
        <v>#REF!</v>
      </c>
      <c r="G690" s="103">
        <f t="shared" ca="1" si="135"/>
        <v>0.43146145441792882</v>
      </c>
      <c r="H690" s="103">
        <f t="shared" ca="1" si="136"/>
        <v>0.19982001748799391</v>
      </c>
      <c r="I690" s="103" t="e">
        <f t="shared" ca="1" si="137"/>
        <v>#REF!</v>
      </c>
      <c r="J690" s="103" t="e">
        <f t="shared" ca="1" si="138"/>
        <v>#REF!</v>
      </c>
      <c r="K690" s="103" t="e">
        <f t="shared" ca="1" si="139"/>
        <v>#REF!</v>
      </c>
      <c r="L690" s="103" t="e">
        <f t="shared" ca="1" si="140"/>
        <v>#REF!</v>
      </c>
      <c r="M690" s="103" t="e">
        <f t="shared" ca="1" si="141"/>
        <v>#REF!</v>
      </c>
      <c r="N690" s="104" t="e">
        <f t="shared" ca="1" si="142"/>
        <v>#REF!</v>
      </c>
    </row>
    <row r="691" spans="1:14">
      <c r="A691" s="95">
        <v>653</v>
      </c>
      <c r="B691" s="102" t="e">
        <f t="shared" ca="1" si="130"/>
        <v>#REF!</v>
      </c>
      <c r="C691" s="102" t="e">
        <f t="shared" ca="1" si="131"/>
        <v>#REF!</v>
      </c>
      <c r="D691" s="102" t="e">
        <f t="shared" ca="1" si="132"/>
        <v>#REF!</v>
      </c>
      <c r="E691" s="102" t="e">
        <f t="shared" ca="1" si="133"/>
        <v>#REF!</v>
      </c>
      <c r="F691" s="102" t="e">
        <f t="shared" ca="1" si="134"/>
        <v>#REF!</v>
      </c>
      <c r="G691" s="103">
        <f t="shared" ca="1" si="135"/>
        <v>0.3970388615411955</v>
      </c>
      <c r="H691" s="103">
        <f t="shared" ca="1" si="136"/>
        <v>0.19759525594255331</v>
      </c>
      <c r="I691" s="103" t="e">
        <f t="shared" ca="1" si="137"/>
        <v>#REF!</v>
      </c>
      <c r="J691" s="103" t="e">
        <f t="shared" ca="1" si="138"/>
        <v>#REF!</v>
      </c>
      <c r="K691" s="103" t="e">
        <f t="shared" ca="1" si="139"/>
        <v>#REF!</v>
      </c>
      <c r="L691" s="103" t="e">
        <f t="shared" ca="1" si="140"/>
        <v>#REF!</v>
      </c>
      <c r="M691" s="103" t="e">
        <f t="shared" ca="1" si="141"/>
        <v>#REF!</v>
      </c>
      <c r="N691" s="104" t="e">
        <f t="shared" ca="1" si="142"/>
        <v>#REF!</v>
      </c>
    </row>
    <row r="692" spans="1:14">
      <c r="A692" s="96">
        <v>654</v>
      </c>
      <c r="B692" s="102" t="e">
        <f t="shared" ca="1" si="130"/>
        <v>#REF!</v>
      </c>
      <c r="C692" s="102" t="e">
        <f t="shared" ca="1" si="131"/>
        <v>#REF!</v>
      </c>
      <c r="D692" s="102" t="e">
        <f t="shared" ca="1" si="132"/>
        <v>#REF!</v>
      </c>
      <c r="E692" s="102" t="e">
        <f t="shared" ca="1" si="133"/>
        <v>#REF!</v>
      </c>
      <c r="F692" s="102" t="e">
        <f t="shared" ca="1" si="134"/>
        <v>#REF!</v>
      </c>
      <c r="G692" s="103">
        <f t="shared" ca="1" si="135"/>
        <v>0.42591027819807714</v>
      </c>
      <c r="H692" s="103">
        <f t="shared" ca="1" si="136"/>
        <v>0.21388613174114426</v>
      </c>
      <c r="I692" s="103" t="e">
        <f t="shared" ca="1" si="137"/>
        <v>#REF!</v>
      </c>
      <c r="J692" s="103" t="e">
        <f t="shared" ca="1" si="138"/>
        <v>#REF!</v>
      </c>
      <c r="K692" s="103" t="e">
        <f t="shared" ca="1" si="139"/>
        <v>#REF!</v>
      </c>
      <c r="L692" s="103" t="e">
        <f t="shared" ca="1" si="140"/>
        <v>#REF!</v>
      </c>
      <c r="M692" s="103" t="e">
        <f t="shared" ca="1" si="141"/>
        <v>#REF!</v>
      </c>
      <c r="N692" s="104" t="e">
        <f t="shared" ca="1" si="142"/>
        <v>#REF!</v>
      </c>
    </row>
    <row r="693" spans="1:14">
      <c r="A693" s="95">
        <v>655</v>
      </c>
      <c r="B693" s="102" t="e">
        <f t="shared" ca="1" si="130"/>
        <v>#REF!</v>
      </c>
      <c r="C693" s="102" t="e">
        <f t="shared" ca="1" si="131"/>
        <v>#REF!</v>
      </c>
      <c r="D693" s="102" t="e">
        <f t="shared" ca="1" si="132"/>
        <v>#REF!</v>
      </c>
      <c r="E693" s="102" t="e">
        <f t="shared" ca="1" si="133"/>
        <v>#REF!</v>
      </c>
      <c r="F693" s="102" t="e">
        <f t="shared" ca="1" si="134"/>
        <v>#REF!</v>
      </c>
      <c r="G693" s="103">
        <f t="shared" ca="1" si="135"/>
        <v>0.42167677576209533</v>
      </c>
      <c r="H693" s="103">
        <f t="shared" ca="1" si="136"/>
        <v>0.2024317417101589</v>
      </c>
      <c r="I693" s="103" t="e">
        <f t="shared" ca="1" si="137"/>
        <v>#REF!</v>
      </c>
      <c r="J693" s="103" t="e">
        <f t="shared" ca="1" si="138"/>
        <v>#REF!</v>
      </c>
      <c r="K693" s="103" t="e">
        <f t="shared" ca="1" si="139"/>
        <v>#REF!</v>
      </c>
      <c r="L693" s="103" t="e">
        <f t="shared" ca="1" si="140"/>
        <v>#REF!</v>
      </c>
      <c r="M693" s="103" t="e">
        <f t="shared" ca="1" si="141"/>
        <v>#REF!</v>
      </c>
      <c r="N693" s="104" t="e">
        <f t="shared" ca="1" si="142"/>
        <v>#REF!</v>
      </c>
    </row>
    <row r="694" spans="1:14">
      <c r="A694" s="96">
        <v>656</v>
      </c>
      <c r="B694" s="102" t="e">
        <f t="shared" ca="1" si="130"/>
        <v>#REF!</v>
      </c>
      <c r="C694" s="102" t="e">
        <f t="shared" ca="1" si="131"/>
        <v>#REF!</v>
      </c>
      <c r="D694" s="102" t="e">
        <f t="shared" ca="1" si="132"/>
        <v>#REF!</v>
      </c>
      <c r="E694" s="102" t="e">
        <f t="shared" ca="1" si="133"/>
        <v>#REF!</v>
      </c>
      <c r="F694" s="102" t="e">
        <f t="shared" ca="1" si="134"/>
        <v>#REF!</v>
      </c>
      <c r="G694" s="103">
        <f t="shared" ca="1" si="135"/>
        <v>0.41922283659739129</v>
      </c>
      <c r="H694" s="103">
        <f t="shared" ca="1" si="136"/>
        <v>0.2121169385694372</v>
      </c>
      <c r="I694" s="103" t="e">
        <f t="shared" ca="1" si="137"/>
        <v>#REF!</v>
      </c>
      <c r="J694" s="103" t="e">
        <f t="shared" ca="1" si="138"/>
        <v>#REF!</v>
      </c>
      <c r="K694" s="103" t="e">
        <f t="shared" ca="1" si="139"/>
        <v>#REF!</v>
      </c>
      <c r="L694" s="103" t="e">
        <f t="shared" ca="1" si="140"/>
        <v>#REF!</v>
      </c>
      <c r="M694" s="103" t="e">
        <f t="shared" ca="1" si="141"/>
        <v>#REF!</v>
      </c>
      <c r="N694" s="104" t="e">
        <f t="shared" ca="1" si="142"/>
        <v>#REF!</v>
      </c>
    </row>
    <row r="695" spans="1:14">
      <c r="A695" s="95">
        <v>657</v>
      </c>
      <c r="B695" s="102" t="e">
        <f t="shared" ca="1" si="130"/>
        <v>#REF!</v>
      </c>
      <c r="C695" s="102" t="e">
        <f t="shared" ca="1" si="131"/>
        <v>#REF!</v>
      </c>
      <c r="D695" s="102" t="e">
        <f t="shared" ca="1" si="132"/>
        <v>#REF!</v>
      </c>
      <c r="E695" s="102" t="e">
        <f t="shared" ca="1" si="133"/>
        <v>#REF!</v>
      </c>
      <c r="F695" s="102" t="e">
        <f t="shared" ca="1" si="134"/>
        <v>#REF!</v>
      </c>
      <c r="G695" s="103">
        <f t="shared" ca="1" si="135"/>
        <v>0.42544038118098104</v>
      </c>
      <c r="H695" s="103">
        <f t="shared" ca="1" si="136"/>
        <v>0.19517863669845592</v>
      </c>
      <c r="I695" s="103" t="e">
        <f t="shared" ca="1" si="137"/>
        <v>#REF!</v>
      </c>
      <c r="J695" s="103" t="e">
        <f t="shared" ca="1" si="138"/>
        <v>#REF!</v>
      </c>
      <c r="K695" s="103" t="e">
        <f t="shared" ca="1" si="139"/>
        <v>#REF!</v>
      </c>
      <c r="L695" s="103" t="e">
        <f t="shared" ca="1" si="140"/>
        <v>#REF!</v>
      </c>
      <c r="M695" s="103" t="e">
        <f t="shared" ca="1" si="141"/>
        <v>#REF!</v>
      </c>
      <c r="N695" s="104" t="e">
        <f t="shared" ca="1" si="142"/>
        <v>#REF!</v>
      </c>
    </row>
    <row r="696" spans="1:14">
      <c r="A696" s="96">
        <v>658</v>
      </c>
      <c r="B696" s="102" t="e">
        <f t="shared" ca="1" si="130"/>
        <v>#REF!</v>
      </c>
      <c r="C696" s="102" t="e">
        <f t="shared" ca="1" si="131"/>
        <v>#REF!</v>
      </c>
      <c r="D696" s="102" t="e">
        <f t="shared" ca="1" si="132"/>
        <v>#REF!</v>
      </c>
      <c r="E696" s="102" t="e">
        <f t="shared" ca="1" si="133"/>
        <v>#REF!</v>
      </c>
      <c r="F696" s="102" t="e">
        <f t="shared" ca="1" si="134"/>
        <v>#REF!</v>
      </c>
      <c r="G696" s="103">
        <f t="shared" ca="1" si="135"/>
        <v>0.45704041171892512</v>
      </c>
      <c r="H696" s="103">
        <f t="shared" ca="1" si="136"/>
        <v>0.19155933679364448</v>
      </c>
      <c r="I696" s="103" t="e">
        <f t="shared" ca="1" si="137"/>
        <v>#REF!</v>
      </c>
      <c r="J696" s="103" t="e">
        <f t="shared" ca="1" si="138"/>
        <v>#REF!</v>
      </c>
      <c r="K696" s="103" t="e">
        <f t="shared" ca="1" si="139"/>
        <v>#REF!</v>
      </c>
      <c r="L696" s="103" t="e">
        <f t="shared" ca="1" si="140"/>
        <v>#REF!</v>
      </c>
      <c r="M696" s="103" t="e">
        <f t="shared" ca="1" si="141"/>
        <v>#REF!</v>
      </c>
      <c r="N696" s="104" t="e">
        <f t="shared" ca="1" si="142"/>
        <v>#REF!</v>
      </c>
    </row>
    <row r="697" spans="1:14">
      <c r="A697" s="95">
        <v>659</v>
      </c>
      <c r="B697" s="102" t="e">
        <f t="shared" ca="1" si="130"/>
        <v>#REF!</v>
      </c>
      <c r="C697" s="102" t="e">
        <f t="shared" ca="1" si="131"/>
        <v>#REF!</v>
      </c>
      <c r="D697" s="102" t="e">
        <f t="shared" ca="1" si="132"/>
        <v>#REF!</v>
      </c>
      <c r="E697" s="102" t="e">
        <f t="shared" ca="1" si="133"/>
        <v>#REF!</v>
      </c>
      <c r="F697" s="102" t="e">
        <f t="shared" ca="1" si="134"/>
        <v>#REF!</v>
      </c>
      <c r="G697" s="103">
        <f t="shared" ca="1" si="135"/>
        <v>0.40825477665147225</v>
      </c>
      <c r="H697" s="103">
        <f t="shared" ca="1" si="136"/>
        <v>0.21750149593080742</v>
      </c>
      <c r="I697" s="103" t="e">
        <f t="shared" ca="1" si="137"/>
        <v>#REF!</v>
      </c>
      <c r="J697" s="103" t="e">
        <f t="shared" ca="1" si="138"/>
        <v>#REF!</v>
      </c>
      <c r="K697" s="103" t="e">
        <f t="shared" ca="1" si="139"/>
        <v>#REF!</v>
      </c>
      <c r="L697" s="103" t="e">
        <f t="shared" ca="1" si="140"/>
        <v>#REF!</v>
      </c>
      <c r="M697" s="103" t="e">
        <f t="shared" ca="1" si="141"/>
        <v>#REF!</v>
      </c>
      <c r="N697" s="104" t="e">
        <f t="shared" ca="1" si="142"/>
        <v>#REF!</v>
      </c>
    </row>
    <row r="698" spans="1:14">
      <c r="A698" s="96">
        <v>660</v>
      </c>
      <c r="B698" s="102" t="e">
        <f t="shared" ca="1" si="130"/>
        <v>#REF!</v>
      </c>
      <c r="C698" s="102" t="e">
        <f t="shared" ca="1" si="131"/>
        <v>#REF!</v>
      </c>
      <c r="D698" s="102" t="e">
        <f t="shared" ca="1" si="132"/>
        <v>#REF!</v>
      </c>
      <c r="E698" s="102" t="e">
        <f t="shared" ca="1" si="133"/>
        <v>#REF!</v>
      </c>
      <c r="F698" s="102" t="e">
        <f t="shared" ca="1" si="134"/>
        <v>#REF!</v>
      </c>
      <c r="G698" s="103">
        <f t="shared" ca="1" si="135"/>
        <v>0.42131529942618962</v>
      </c>
      <c r="H698" s="103">
        <f t="shared" ca="1" si="136"/>
        <v>0.24869204952612944</v>
      </c>
      <c r="I698" s="103" t="e">
        <f t="shared" ca="1" si="137"/>
        <v>#REF!</v>
      </c>
      <c r="J698" s="103" t="e">
        <f t="shared" ca="1" si="138"/>
        <v>#REF!</v>
      </c>
      <c r="K698" s="103" t="e">
        <f t="shared" ca="1" si="139"/>
        <v>#REF!</v>
      </c>
      <c r="L698" s="103" t="e">
        <f t="shared" ca="1" si="140"/>
        <v>#REF!</v>
      </c>
      <c r="M698" s="103" t="e">
        <f t="shared" ca="1" si="141"/>
        <v>#REF!</v>
      </c>
      <c r="N698" s="104" t="e">
        <f t="shared" ca="1" si="142"/>
        <v>#REF!</v>
      </c>
    </row>
    <row r="699" spans="1:14">
      <c r="A699" s="95">
        <v>661</v>
      </c>
      <c r="B699" s="102" t="e">
        <f t="shared" ca="1" si="130"/>
        <v>#REF!</v>
      </c>
      <c r="C699" s="102" t="e">
        <f t="shared" ca="1" si="131"/>
        <v>#REF!</v>
      </c>
      <c r="D699" s="102" t="e">
        <f t="shared" ca="1" si="132"/>
        <v>#REF!</v>
      </c>
      <c r="E699" s="102" t="e">
        <f t="shared" ca="1" si="133"/>
        <v>#REF!</v>
      </c>
      <c r="F699" s="102" t="e">
        <f t="shared" ca="1" si="134"/>
        <v>#REF!</v>
      </c>
      <c r="G699" s="103">
        <f t="shared" ca="1" si="135"/>
        <v>0.43040887531088307</v>
      </c>
      <c r="H699" s="103">
        <f t="shared" ca="1" si="136"/>
        <v>0.2016750067600683</v>
      </c>
      <c r="I699" s="103" t="e">
        <f t="shared" ca="1" si="137"/>
        <v>#REF!</v>
      </c>
      <c r="J699" s="103" t="e">
        <f t="shared" ca="1" si="138"/>
        <v>#REF!</v>
      </c>
      <c r="K699" s="103" t="e">
        <f t="shared" ca="1" si="139"/>
        <v>#REF!</v>
      </c>
      <c r="L699" s="103" t="e">
        <f t="shared" ca="1" si="140"/>
        <v>#REF!</v>
      </c>
      <c r="M699" s="103" t="e">
        <f t="shared" ca="1" si="141"/>
        <v>#REF!</v>
      </c>
      <c r="N699" s="104" t="e">
        <f t="shared" ca="1" si="142"/>
        <v>#REF!</v>
      </c>
    </row>
    <row r="700" spans="1:14">
      <c r="A700" s="96">
        <v>662</v>
      </c>
      <c r="B700" s="102" t="e">
        <f t="shared" ca="1" si="130"/>
        <v>#REF!</v>
      </c>
      <c r="C700" s="102" t="e">
        <f t="shared" ca="1" si="131"/>
        <v>#REF!</v>
      </c>
      <c r="D700" s="102" t="e">
        <f t="shared" ca="1" si="132"/>
        <v>#REF!</v>
      </c>
      <c r="E700" s="102" t="e">
        <f t="shared" ca="1" si="133"/>
        <v>#REF!</v>
      </c>
      <c r="F700" s="102" t="e">
        <f t="shared" ca="1" si="134"/>
        <v>#REF!</v>
      </c>
      <c r="G700" s="103">
        <f t="shared" ca="1" si="135"/>
        <v>0.41055741289956277</v>
      </c>
      <c r="H700" s="103">
        <f t="shared" ca="1" si="136"/>
        <v>0.19870571278718449</v>
      </c>
      <c r="I700" s="103" t="e">
        <f t="shared" ca="1" si="137"/>
        <v>#REF!</v>
      </c>
      <c r="J700" s="103" t="e">
        <f t="shared" ca="1" si="138"/>
        <v>#REF!</v>
      </c>
      <c r="K700" s="103" t="e">
        <f t="shared" ca="1" si="139"/>
        <v>#REF!</v>
      </c>
      <c r="L700" s="103" t="e">
        <f t="shared" ca="1" si="140"/>
        <v>#REF!</v>
      </c>
      <c r="M700" s="103" t="e">
        <f t="shared" ca="1" si="141"/>
        <v>#REF!</v>
      </c>
      <c r="N700" s="104" t="e">
        <f t="shared" ca="1" si="142"/>
        <v>#REF!</v>
      </c>
    </row>
    <row r="701" spans="1:14">
      <c r="A701" s="95">
        <v>663</v>
      </c>
      <c r="B701" s="102" t="e">
        <f t="shared" ca="1" si="130"/>
        <v>#REF!</v>
      </c>
      <c r="C701" s="102" t="e">
        <f t="shared" ca="1" si="131"/>
        <v>#REF!</v>
      </c>
      <c r="D701" s="102" t="e">
        <f t="shared" ca="1" si="132"/>
        <v>#REF!</v>
      </c>
      <c r="E701" s="102" t="e">
        <f t="shared" ca="1" si="133"/>
        <v>#REF!</v>
      </c>
      <c r="F701" s="102" t="e">
        <f t="shared" ca="1" si="134"/>
        <v>#REF!</v>
      </c>
      <c r="G701" s="103">
        <f t="shared" ca="1" si="135"/>
        <v>0.44189754788015317</v>
      </c>
      <c r="H701" s="103">
        <f t="shared" ca="1" si="136"/>
        <v>0.19025911909605386</v>
      </c>
      <c r="I701" s="103" t="e">
        <f t="shared" ca="1" si="137"/>
        <v>#REF!</v>
      </c>
      <c r="J701" s="103" t="e">
        <f t="shared" ca="1" si="138"/>
        <v>#REF!</v>
      </c>
      <c r="K701" s="103" t="e">
        <f t="shared" ca="1" si="139"/>
        <v>#REF!</v>
      </c>
      <c r="L701" s="103" t="e">
        <f t="shared" ca="1" si="140"/>
        <v>#REF!</v>
      </c>
      <c r="M701" s="103" t="e">
        <f t="shared" ca="1" si="141"/>
        <v>#REF!</v>
      </c>
      <c r="N701" s="104" t="e">
        <f t="shared" ca="1" si="142"/>
        <v>#REF!</v>
      </c>
    </row>
    <row r="702" spans="1:14">
      <c r="A702" s="96">
        <v>664</v>
      </c>
      <c r="B702" s="102" t="e">
        <f t="shared" ca="1" si="130"/>
        <v>#REF!</v>
      </c>
      <c r="C702" s="102" t="e">
        <f t="shared" ca="1" si="131"/>
        <v>#REF!</v>
      </c>
      <c r="D702" s="102" t="e">
        <f t="shared" ca="1" si="132"/>
        <v>#REF!</v>
      </c>
      <c r="E702" s="102" t="e">
        <f t="shared" ca="1" si="133"/>
        <v>#REF!</v>
      </c>
      <c r="F702" s="102" t="e">
        <f t="shared" ca="1" si="134"/>
        <v>#REF!</v>
      </c>
      <c r="G702" s="103">
        <f t="shared" ca="1" si="135"/>
        <v>0.43338073809998279</v>
      </c>
      <c r="H702" s="103">
        <f t="shared" ca="1" si="136"/>
        <v>0.1946662059939607</v>
      </c>
      <c r="I702" s="103" t="e">
        <f t="shared" ca="1" si="137"/>
        <v>#REF!</v>
      </c>
      <c r="J702" s="103" t="e">
        <f t="shared" ca="1" si="138"/>
        <v>#REF!</v>
      </c>
      <c r="K702" s="103" t="e">
        <f t="shared" ca="1" si="139"/>
        <v>#REF!</v>
      </c>
      <c r="L702" s="103" t="e">
        <f t="shared" ca="1" si="140"/>
        <v>#REF!</v>
      </c>
      <c r="M702" s="103" t="e">
        <f t="shared" ca="1" si="141"/>
        <v>#REF!</v>
      </c>
      <c r="N702" s="104" t="e">
        <f t="shared" ca="1" si="142"/>
        <v>#REF!</v>
      </c>
    </row>
    <row r="703" spans="1:14">
      <c r="A703" s="95">
        <v>665</v>
      </c>
      <c r="B703" s="102" t="e">
        <f t="shared" ca="1" si="130"/>
        <v>#REF!</v>
      </c>
      <c r="C703" s="102" t="e">
        <f t="shared" ca="1" si="131"/>
        <v>#REF!</v>
      </c>
      <c r="D703" s="102" t="e">
        <f t="shared" ca="1" si="132"/>
        <v>#REF!</v>
      </c>
      <c r="E703" s="102" t="e">
        <f t="shared" ca="1" si="133"/>
        <v>#REF!</v>
      </c>
      <c r="F703" s="102" t="e">
        <f t="shared" ca="1" si="134"/>
        <v>#REF!</v>
      </c>
      <c r="G703" s="103">
        <f t="shared" ca="1" si="135"/>
        <v>0.46163963020080406</v>
      </c>
      <c r="H703" s="103">
        <f t="shared" ca="1" si="136"/>
        <v>0.19774756215068853</v>
      </c>
      <c r="I703" s="103" t="e">
        <f t="shared" ca="1" si="137"/>
        <v>#REF!</v>
      </c>
      <c r="J703" s="103" t="e">
        <f t="shared" ca="1" si="138"/>
        <v>#REF!</v>
      </c>
      <c r="K703" s="103" t="e">
        <f t="shared" ca="1" si="139"/>
        <v>#REF!</v>
      </c>
      <c r="L703" s="103" t="e">
        <f t="shared" ca="1" si="140"/>
        <v>#REF!</v>
      </c>
      <c r="M703" s="103" t="e">
        <f t="shared" ca="1" si="141"/>
        <v>#REF!</v>
      </c>
      <c r="N703" s="104" t="e">
        <f t="shared" ca="1" si="142"/>
        <v>#REF!</v>
      </c>
    </row>
    <row r="704" spans="1:14">
      <c r="A704" s="96">
        <v>666</v>
      </c>
      <c r="B704" s="102" t="e">
        <f t="shared" ca="1" si="130"/>
        <v>#REF!</v>
      </c>
      <c r="C704" s="102" t="e">
        <f t="shared" ca="1" si="131"/>
        <v>#REF!</v>
      </c>
      <c r="D704" s="102" t="e">
        <f t="shared" ca="1" si="132"/>
        <v>#REF!</v>
      </c>
      <c r="E704" s="102" t="e">
        <f t="shared" ca="1" si="133"/>
        <v>#REF!</v>
      </c>
      <c r="F704" s="102" t="e">
        <f t="shared" ca="1" si="134"/>
        <v>#REF!</v>
      </c>
      <c r="G704" s="103">
        <f t="shared" ca="1" si="135"/>
        <v>0.44425964632278109</v>
      </c>
      <c r="H704" s="103">
        <f t="shared" ca="1" si="136"/>
        <v>0.1987274488707014</v>
      </c>
      <c r="I704" s="103" t="e">
        <f t="shared" ca="1" si="137"/>
        <v>#REF!</v>
      </c>
      <c r="J704" s="103" t="e">
        <f t="shared" ca="1" si="138"/>
        <v>#REF!</v>
      </c>
      <c r="K704" s="103" t="e">
        <f t="shared" ca="1" si="139"/>
        <v>#REF!</v>
      </c>
      <c r="L704" s="103" t="e">
        <f t="shared" ca="1" si="140"/>
        <v>#REF!</v>
      </c>
      <c r="M704" s="103" t="e">
        <f t="shared" ca="1" si="141"/>
        <v>#REF!</v>
      </c>
      <c r="N704" s="104" t="e">
        <f t="shared" ca="1" si="142"/>
        <v>#REF!</v>
      </c>
    </row>
    <row r="705" spans="1:14">
      <c r="A705" s="95">
        <v>667</v>
      </c>
      <c r="B705" s="102" t="e">
        <f t="shared" ca="1" si="130"/>
        <v>#REF!</v>
      </c>
      <c r="C705" s="102" t="e">
        <f t="shared" ca="1" si="131"/>
        <v>#REF!</v>
      </c>
      <c r="D705" s="102" t="e">
        <f t="shared" ca="1" si="132"/>
        <v>#REF!</v>
      </c>
      <c r="E705" s="102" t="e">
        <f t="shared" ca="1" si="133"/>
        <v>#REF!</v>
      </c>
      <c r="F705" s="102" t="e">
        <f t="shared" ca="1" si="134"/>
        <v>#REF!</v>
      </c>
      <c r="G705" s="103">
        <f t="shared" ca="1" si="135"/>
        <v>0.48693560602441061</v>
      </c>
      <c r="H705" s="103">
        <f t="shared" ca="1" si="136"/>
        <v>0.18992070494724458</v>
      </c>
      <c r="I705" s="103" t="e">
        <f t="shared" ca="1" si="137"/>
        <v>#REF!</v>
      </c>
      <c r="J705" s="103" t="e">
        <f t="shared" ca="1" si="138"/>
        <v>#REF!</v>
      </c>
      <c r="K705" s="103" t="e">
        <f t="shared" ca="1" si="139"/>
        <v>#REF!</v>
      </c>
      <c r="L705" s="103" t="e">
        <f t="shared" ca="1" si="140"/>
        <v>#REF!</v>
      </c>
      <c r="M705" s="103" t="e">
        <f t="shared" ca="1" si="141"/>
        <v>#REF!</v>
      </c>
      <c r="N705" s="104" t="e">
        <f t="shared" ca="1" si="142"/>
        <v>#REF!</v>
      </c>
    </row>
    <row r="706" spans="1:14">
      <c r="A706" s="96">
        <v>668</v>
      </c>
      <c r="B706" s="102" t="e">
        <f t="shared" ca="1" si="130"/>
        <v>#REF!</v>
      </c>
      <c r="C706" s="102" t="e">
        <f t="shared" ca="1" si="131"/>
        <v>#REF!</v>
      </c>
      <c r="D706" s="102" t="e">
        <f t="shared" ca="1" si="132"/>
        <v>#REF!</v>
      </c>
      <c r="E706" s="102" t="e">
        <f t="shared" ca="1" si="133"/>
        <v>#REF!</v>
      </c>
      <c r="F706" s="102" t="e">
        <f t="shared" ca="1" si="134"/>
        <v>#REF!</v>
      </c>
      <c r="G706" s="103">
        <f t="shared" ca="1" si="135"/>
        <v>0.4450634851460134</v>
      </c>
      <c r="H706" s="103">
        <f t="shared" ca="1" si="136"/>
        <v>0.20022760977026741</v>
      </c>
      <c r="I706" s="103" t="e">
        <f t="shared" ca="1" si="137"/>
        <v>#REF!</v>
      </c>
      <c r="J706" s="103" t="e">
        <f t="shared" ca="1" si="138"/>
        <v>#REF!</v>
      </c>
      <c r="K706" s="103" t="e">
        <f t="shared" ca="1" si="139"/>
        <v>#REF!</v>
      </c>
      <c r="L706" s="103" t="e">
        <f t="shared" ca="1" si="140"/>
        <v>#REF!</v>
      </c>
      <c r="M706" s="103" t="e">
        <f t="shared" ca="1" si="141"/>
        <v>#REF!</v>
      </c>
      <c r="N706" s="104" t="e">
        <f t="shared" ca="1" si="142"/>
        <v>#REF!</v>
      </c>
    </row>
    <row r="707" spans="1:14">
      <c r="A707" s="95">
        <v>669</v>
      </c>
      <c r="B707" s="102" t="e">
        <f t="shared" ca="1" si="130"/>
        <v>#REF!</v>
      </c>
      <c r="C707" s="102" t="e">
        <f t="shared" ca="1" si="131"/>
        <v>#REF!</v>
      </c>
      <c r="D707" s="102" t="e">
        <f t="shared" ca="1" si="132"/>
        <v>#REF!</v>
      </c>
      <c r="E707" s="102" t="e">
        <f t="shared" ca="1" si="133"/>
        <v>#REF!</v>
      </c>
      <c r="F707" s="102" t="e">
        <f t="shared" ca="1" si="134"/>
        <v>#REF!</v>
      </c>
      <c r="G707" s="103">
        <f t="shared" ca="1" si="135"/>
        <v>0.45498588342889806</v>
      </c>
      <c r="H707" s="103">
        <f t="shared" ca="1" si="136"/>
        <v>0.20109014957759541</v>
      </c>
      <c r="I707" s="103" t="e">
        <f t="shared" ca="1" si="137"/>
        <v>#REF!</v>
      </c>
      <c r="J707" s="103" t="e">
        <f t="shared" ca="1" si="138"/>
        <v>#REF!</v>
      </c>
      <c r="K707" s="103" t="e">
        <f t="shared" ca="1" si="139"/>
        <v>#REF!</v>
      </c>
      <c r="L707" s="103" t="e">
        <f t="shared" ca="1" si="140"/>
        <v>#REF!</v>
      </c>
      <c r="M707" s="103" t="e">
        <f t="shared" ca="1" si="141"/>
        <v>#REF!</v>
      </c>
      <c r="N707" s="104" t="e">
        <f t="shared" ca="1" si="142"/>
        <v>#REF!</v>
      </c>
    </row>
    <row r="708" spans="1:14">
      <c r="A708" s="96">
        <v>670</v>
      </c>
      <c r="B708" s="102" t="e">
        <f t="shared" ca="1" si="130"/>
        <v>#REF!</v>
      </c>
      <c r="C708" s="102" t="e">
        <f t="shared" ca="1" si="131"/>
        <v>#REF!</v>
      </c>
      <c r="D708" s="102" t="e">
        <f t="shared" ca="1" si="132"/>
        <v>#REF!</v>
      </c>
      <c r="E708" s="102" t="e">
        <f t="shared" ca="1" si="133"/>
        <v>#REF!</v>
      </c>
      <c r="F708" s="102" t="e">
        <f t="shared" ca="1" si="134"/>
        <v>#REF!</v>
      </c>
      <c r="G708" s="103">
        <f t="shared" ca="1" si="135"/>
        <v>0.43053241613620524</v>
      </c>
      <c r="H708" s="103">
        <f t="shared" ca="1" si="136"/>
        <v>0.20283565155333655</v>
      </c>
      <c r="I708" s="103" t="e">
        <f t="shared" ca="1" si="137"/>
        <v>#REF!</v>
      </c>
      <c r="J708" s="103" t="e">
        <f t="shared" ca="1" si="138"/>
        <v>#REF!</v>
      </c>
      <c r="K708" s="103" t="e">
        <f t="shared" ca="1" si="139"/>
        <v>#REF!</v>
      </c>
      <c r="L708" s="103" t="e">
        <f t="shared" ca="1" si="140"/>
        <v>#REF!</v>
      </c>
      <c r="M708" s="103" t="e">
        <f t="shared" ca="1" si="141"/>
        <v>#REF!</v>
      </c>
      <c r="N708" s="104" t="e">
        <f t="shared" ca="1" si="142"/>
        <v>#REF!</v>
      </c>
    </row>
    <row r="709" spans="1:14">
      <c r="A709" s="95">
        <v>671</v>
      </c>
      <c r="B709" s="102" t="e">
        <f t="shared" ca="1" si="130"/>
        <v>#REF!</v>
      </c>
      <c r="C709" s="102" t="e">
        <f t="shared" ca="1" si="131"/>
        <v>#REF!</v>
      </c>
      <c r="D709" s="102" t="e">
        <f t="shared" ca="1" si="132"/>
        <v>#REF!</v>
      </c>
      <c r="E709" s="102" t="e">
        <f t="shared" ca="1" si="133"/>
        <v>#REF!</v>
      </c>
      <c r="F709" s="102" t="e">
        <f t="shared" ca="1" si="134"/>
        <v>#REF!</v>
      </c>
      <c r="G709" s="103">
        <f t="shared" ca="1" si="135"/>
        <v>0.4113979698476633</v>
      </c>
      <c r="H709" s="103">
        <f t="shared" ca="1" si="136"/>
        <v>0.21489152449203269</v>
      </c>
      <c r="I709" s="103" t="e">
        <f t="shared" ca="1" si="137"/>
        <v>#REF!</v>
      </c>
      <c r="J709" s="103" t="e">
        <f t="shared" ca="1" si="138"/>
        <v>#REF!</v>
      </c>
      <c r="K709" s="103" t="e">
        <f t="shared" ca="1" si="139"/>
        <v>#REF!</v>
      </c>
      <c r="L709" s="103" t="e">
        <f t="shared" ca="1" si="140"/>
        <v>#REF!</v>
      </c>
      <c r="M709" s="103" t="e">
        <f t="shared" ca="1" si="141"/>
        <v>#REF!</v>
      </c>
      <c r="N709" s="104" t="e">
        <f t="shared" ca="1" si="142"/>
        <v>#REF!</v>
      </c>
    </row>
    <row r="710" spans="1:14">
      <c r="A710" s="96">
        <v>672</v>
      </c>
      <c r="B710" s="102" t="e">
        <f t="shared" ca="1" si="130"/>
        <v>#REF!</v>
      </c>
      <c r="C710" s="102" t="e">
        <f t="shared" ca="1" si="131"/>
        <v>#REF!</v>
      </c>
      <c r="D710" s="102" t="e">
        <f t="shared" ca="1" si="132"/>
        <v>#REF!</v>
      </c>
      <c r="E710" s="102" t="e">
        <f t="shared" ca="1" si="133"/>
        <v>#REF!</v>
      </c>
      <c r="F710" s="102" t="e">
        <f t="shared" ca="1" si="134"/>
        <v>#REF!</v>
      </c>
      <c r="G710" s="103">
        <f t="shared" ca="1" si="135"/>
        <v>0.40920110407638899</v>
      </c>
      <c r="H710" s="103">
        <f t="shared" ca="1" si="136"/>
        <v>0.20219478852406628</v>
      </c>
      <c r="I710" s="103" t="e">
        <f t="shared" ca="1" si="137"/>
        <v>#REF!</v>
      </c>
      <c r="J710" s="103" t="e">
        <f t="shared" ca="1" si="138"/>
        <v>#REF!</v>
      </c>
      <c r="K710" s="103" t="e">
        <f t="shared" ca="1" si="139"/>
        <v>#REF!</v>
      </c>
      <c r="L710" s="103" t="e">
        <f t="shared" ca="1" si="140"/>
        <v>#REF!</v>
      </c>
      <c r="M710" s="103" t="e">
        <f t="shared" ca="1" si="141"/>
        <v>#REF!</v>
      </c>
      <c r="N710" s="104" t="e">
        <f t="shared" ca="1" si="142"/>
        <v>#REF!</v>
      </c>
    </row>
    <row r="711" spans="1:14">
      <c r="A711" s="95">
        <v>673</v>
      </c>
      <c r="B711" s="102" t="e">
        <f t="shared" ca="1" si="130"/>
        <v>#REF!</v>
      </c>
      <c r="C711" s="102" t="e">
        <f t="shared" ca="1" si="131"/>
        <v>#REF!</v>
      </c>
      <c r="D711" s="102" t="e">
        <f t="shared" ca="1" si="132"/>
        <v>#REF!</v>
      </c>
      <c r="E711" s="102" t="e">
        <f t="shared" ca="1" si="133"/>
        <v>#REF!</v>
      </c>
      <c r="F711" s="102" t="e">
        <f t="shared" ca="1" si="134"/>
        <v>#REF!</v>
      </c>
      <c r="G711" s="103">
        <f t="shared" ca="1" si="135"/>
        <v>0.44296946037560736</v>
      </c>
      <c r="H711" s="103">
        <f t="shared" ca="1" si="136"/>
        <v>0.20629574807709519</v>
      </c>
      <c r="I711" s="103" t="e">
        <f t="shared" ca="1" si="137"/>
        <v>#REF!</v>
      </c>
      <c r="J711" s="103" t="e">
        <f t="shared" ca="1" si="138"/>
        <v>#REF!</v>
      </c>
      <c r="K711" s="103" t="e">
        <f t="shared" ca="1" si="139"/>
        <v>#REF!</v>
      </c>
      <c r="L711" s="103" t="e">
        <f t="shared" ca="1" si="140"/>
        <v>#REF!</v>
      </c>
      <c r="M711" s="103" t="e">
        <f t="shared" ca="1" si="141"/>
        <v>#REF!</v>
      </c>
      <c r="N711" s="104" t="e">
        <f t="shared" ca="1" si="142"/>
        <v>#REF!</v>
      </c>
    </row>
    <row r="712" spans="1:14">
      <c r="A712" s="96">
        <v>674</v>
      </c>
      <c r="B712" s="102" t="e">
        <f t="shared" ca="1" si="130"/>
        <v>#REF!</v>
      </c>
      <c r="C712" s="102" t="e">
        <f t="shared" ca="1" si="131"/>
        <v>#REF!</v>
      </c>
      <c r="D712" s="102" t="e">
        <f t="shared" ca="1" si="132"/>
        <v>#REF!</v>
      </c>
      <c r="E712" s="102" t="e">
        <f t="shared" ca="1" si="133"/>
        <v>#REF!</v>
      </c>
      <c r="F712" s="102" t="e">
        <f t="shared" ca="1" si="134"/>
        <v>#REF!</v>
      </c>
      <c r="G712" s="103">
        <f t="shared" ca="1" si="135"/>
        <v>0.47820070597943293</v>
      </c>
      <c r="H712" s="103">
        <f t="shared" ca="1" si="136"/>
        <v>0.18249768348411979</v>
      </c>
      <c r="I712" s="103" t="e">
        <f t="shared" ca="1" si="137"/>
        <v>#REF!</v>
      </c>
      <c r="J712" s="103" t="e">
        <f t="shared" ca="1" si="138"/>
        <v>#REF!</v>
      </c>
      <c r="K712" s="103" t="e">
        <f t="shared" ca="1" si="139"/>
        <v>#REF!</v>
      </c>
      <c r="L712" s="103" t="e">
        <f t="shared" ca="1" si="140"/>
        <v>#REF!</v>
      </c>
      <c r="M712" s="103" t="e">
        <f t="shared" ca="1" si="141"/>
        <v>#REF!</v>
      </c>
      <c r="N712" s="104" t="e">
        <f t="shared" ca="1" si="142"/>
        <v>#REF!</v>
      </c>
    </row>
    <row r="713" spans="1:14">
      <c r="A713" s="95">
        <v>675</v>
      </c>
      <c r="B713" s="102" t="e">
        <f t="shared" ca="1" si="130"/>
        <v>#REF!</v>
      </c>
      <c r="C713" s="102" t="e">
        <f t="shared" ca="1" si="131"/>
        <v>#REF!</v>
      </c>
      <c r="D713" s="102" t="e">
        <f t="shared" ca="1" si="132"/>
        <v>#REF!</v>
      </c>
      <c r="E713" s="102" t="e">
        <f t="shared" ca="1" si="133"/>
        <v>#REF!</v>
      </c>
      <c r="F713" s="102" t="e">
        <f t="shared" ca="1" si="134"/>
        <v>#REF!</v>
      </c>
      <c r="G713" s="103">
        <f t="shared" ca="1" si="135"/>
        <v>0.46206970264520258</v>
      </c>
      <c r="H713" s="103">
        <f t="shared" ca="1" si="136"/>
        <v>0.21308118769059511</v>
      </c>
      <c r="I713" s="103" t="e">
        <f t="shared" ca="1" si="137"/>
        <v>#REF!</v>
      </c>
      <c r="J713" s="103" t="e">
        <f t="shared" ca="1" si="138"/>
        <v>#REF!</v>
      </c>
      <c r="K713" s="103" t="e">
        <f t="shared" ca="1" si="139"/>
        <v>#REF!</v>
      </c>
      <c r="L713" s="103" t="e">
        <f t="shared" ca="1" si="140"/>
        <v>#REF!</v>
      </c>
      <c r="M713" s="103" t="e">
        <f t="shared" ca="1" si="141"/>
        <v>#REF!</v>
      </c>
      <c r="N713" s="104" t="e">
        <f t="shared" ca="1" si="142"/>
        <v>#REF!</v>
      </c>
    </row>
    <row r="714" spans="1:14">
      <c r="A714" s="96">
        <v>676</v>
      </c>
      <c r="B714" s="102" t="e">
        <f t="shared" ca="1" si="130"/>
        <v>#REF!</v>
      </c>
      <c r="C714" s="102" t="e">
        <f t="shared" ca="1" si="131"/>
        <v>#REF!</v>
      </c>
      <c r="D714" s="102" t="e">
        <f t="shared" ca="1" si="132"/>
        <v>#REF!</v>
      </c>
      <c r="E714" s="102" t="e">
        <f t="shared" ca="1" si="133"/>
        <v>#REF!</v>
      </c>
      <c r="F714" s="102" t="e">
        <f t="shared" ca="1" si="134"/>
        <v>#REF!</v>
      </c>
      <c r="G714" s="103">
        <f t="shared" ca="1" si="135"/>
        <v>0.48769435830971708</v>
      </c>
      <c r="H714" s="103">
        <f t="shared" ca="1" si="136"/>
        <v>0.1927970524556965</v>
      </c>
      <c r="I714" s="103" t="e">
        <f t="shared" ca="1" si="137"/>
        <v>#REF!</v>
      </c>
      <c r="J714" s="103" t="e">
        <f t="shared" ca="1" si="138"/>
        <v>#REF!</v>
      </c>
      <c r="K714" s="103" t="e">
        <f t="shared" ca="1" si="139"/>
        <v>#REF!</v>
      </c>
      <c r="L714" s="103" t="e">
        <f t="shared" ca="1" si="140"/>
        <v>#REF!</v>
      </c>
      <c r="M714" s="103" t="e">
        <f t="shared" ca="1" si="141"/>
        <v>#REF!</v>
      </c>
      <c r="N714" s="104" t="e">
        <f t="shared" ca="1" si="142"/>
        <v>#REF!</v>
      </c>
    </row>
    <row r="715" spans="1:14">
      <c r="A715" s="95">
        <v>677</v>
      </c>
      <c r="B715" s="102" t="e">
        <f t="shared" ca="1" si="130"/>
        <v>#REF!</v>
      </c>
      <c r="C715" s="102" t="e">
        <f t="shared" ca="1" si="131"/>
        <v>#REF!</v>
      </c>
      <c r="D715" s="102" t="e">
        <f t="shared" ca="1" si="132"/>
        <v>#REF!</v>
      </c>
      <c r="E715" s="102" t="e">
        <f t="shared" ca="1" si="133"/>
        <v>#REF!</v>
      </c>
      <c r="F715" s="102" t="e">
        <f t="shared" ca="1" si="134"/>
        <v>#REF!</v>
      </c>
      <c r="G715" s="103">
        <f t="shared" ca="1" si="135"/>
        <v>0.39615227414118942</v>
      </c>
      <c r="H715" s="103">
        <f t="shared" ca="1" si="136"/>
        <v>0.20270890119484428</v>
      </c>
      <c r="I715" s="103" t="e">
        <f t="shared" ca="1" si="137"/>
        <v>#REF!</v>
      </c>
      <c r="J715" s="103" t="e">
        <f t="shared" ca="1" si="138"/>
        <v>#REF!</v>
      </c>
      <c r="K715" s="103" t="e">
        <f t="shared" ca="1" si="139"/>
        <v>#REF!</v>
      </c>
      <c r="L715" s="103" t="e">
        <f t="shared" ca="1" si="140"/>
        <v>#REF!</v>
      </c>
      <c r="M715" s="103" t="e">
        <f t="shared" ca="1" si="141"/>
        <v>#REF!</v>
      </c>
      <c r="N715" s="104" t="e">
        <f t="shared" ca="1" si="142"/>
        <v>#REF!</v>
      </c>
    </row>
    <row r="716" spans="1:14">
      <c r="A716" s="96">
        <v>678</v>
      </c>
      <c r="B716" s="102" t="e">
        <f t="shared" ca="1" si="130"/>
        <v>#REF!</v>
      </c>
      <c r="C716" s="102" t="e">
        <f t="shared" ca="1" si="131"/>
        <v>#REF!</v>
      </c>
      <c r="D716" s="102" t="e">
        <f t="shared" ca="1" si="132"/>
        <v>#REF!</v>
      </c>
      <c r="E716" s="102" t="e">
        <f t="shared" ca="1" si="133"/>
        <v>#REF!</v>
      </c>
      <c r="F716" s="102" t="e">
        <f t="shared" ca="1" si="134"/>
        <v>#REF!</v>
      </c>
      <c r="G716" s="103">
        <f t="shared" ca="1" si="135"/>
        <v>0.41048797783932323</v>
      </c>
      <c r="H716" s="103">
        <f t="shared" ca="1" si="136"/>
        <v>0.20153225413723647</v>
      </c>
      <c r="I716" s="103" t="e">
        <f t="shared" ca="1" si="137"/>
        <v>#REF!</v>
      </c>
      <c r="J716" s="103" t="e">
        <f t="shared" ca="1" si="138"/>
        <v>#REF!</v>
      </c>
      <c r="K716" s="103" t="e">
        <f t="shared" ca="1" si="139"/>
        <v>#REF!</v>
      </c>
      <c r="L716" s="103" t="e">
        <f t="shared" ca="1" si="140"/>
        <v>#REF!</v>
      </c>
      <c r="M716" s="103" t="e">
        <f t="shared" ca="1" si="141"/>
        <v>#REF!</v>
      </c>
      <c r="N716" s="104" t="e">
        <f t="shared" ca="1" si="142"/>
        <v>#REF!</v>
      </c>
    </row>
    <row r="717" spans="1:14">
      <c r="A717" s="95">
        <v>679</v>
      </c>
      <c r="B717" s="102" t="e">
        <f t="shared" ca="1" si="130"/>
        <v>#REF!</v>
      </c>
      <c r="C717" s="102" t="e">
        <f t="shared" ca="1" si="131"/>
        <v>#REF!</v>
      </c>
      <c r="D717" s="102" t="e">
        <f t="shared" ca="1" si="132"/>
        <v>#REF!</v>
      </c>
      <c r="E717" s="102" t="e">
        <f t="shared" ca="1" si="133"/>
        <v>#REF!</v>
      </c>
      <c r="F717" s="102" t="e">
        <f t="shared" ca="1" si="134"/>
        <v>#REF!</v>
      </c>
      <c r="G717" s="103">
        <f t="shared" ca="1" si="135"/>
        <v>0.42886150211913859</v>
      </c>
      <c r="H717" s="103">
        <f t="shared" ca="1" si="136"/>
        <v>0.18423233104994138</v>
      </c>
      <c r="I717" s="103" t="e">
        <f t="shared" ca="1" si="137"/>
        <v>#REF!</v>
      </c>
      <c r="J717" s="103" t="e">
        <f t="shared" ca="1" si="138"/>
        <v>#REF!</v>
      </c>
      <c r="K717" s="103" t="e">
        <f t="shared" ca="1" si="139"/>
        <v>#REF!</v>
      </c>
      <c r="L717" s="103" t="e">
        <f t="shared" ca="1" si="140"/>
        <v>#REF!</v>
      </c>
      <c r="M717" s="103" t="e">
        <f t="shared" ca="1" si="141"/>
        <v>#REF!</v>
      </c>
      <c r="N717" s="104" t="e">
        <f t="shared" ca="1" si="142"/>
        <v>#REF!</v>
      </c>
    </row>
    <row r="718" spans="1:14">
      <c r="A718" s="96">
        <v>680</v>
      </c>
      <c r="B718" s="102" t="e">
        <f t="shared" ca="1" si="130"/>
        <v>#REF!</v>
      </c>
      <c r="C718" s="102" t="e">
        <f t="shared" ca="1" si="131"/>
        <v>#REF!</v>
      </c>
      <c r="D718" s="102" t="e">
        <f t="shared" ca="1" si="132"/>
        <v>#REF!</v>
      </c>
      <c r="E718" s="102" t="e">
        <f t="shared" ca="1" si="133"/>
        <v>#REF!</v>
      </c>
      <c r="F718" s="102" t="e">
        <f t="shared" ca="1" si="134"/>
        <v>#REF!</v>
      </c>
      <c r="G718" s="103">
        <f t="shared" ca="1" si="135"/>
        <v>0.41067081037718439</v>
      </c>
      <c r="H718" s="103">
        <f t="shared" ca="1" si="136"/>
        <v>0.1974995165753283</v>
      </c>
      <c r="I718" s="103" t="e">
        <f t="shared" ca="1" si="137"/>
        <v>#REF!</v>
      </c>
      <c r="J718" s="103" t="e">
        <f t="shared" ca="1" si="138"/>
        <v>#REF!</v>
      </c>
      <c r="K718" s="103" t="e">
        <f t="shared" ca="1" si="139"/>
        <v>#REF!</v>
      </c>
      <c r="L718" s="103" t="e">
        <f t="shared" ca="1" si="140"/>
        <v>#REF!</v>
      </c>
      <c r="M718" s="103" t="e">
        <f t="shared" ca="1" si="141"/>
        <v>#REF!</v>
      </c>
      <c r="N718" s="104" t="e">
        <f t="shared" ca="1" si="142"/>
        <v>#REF!</v>
      </c>
    </row>
    <row r="719" spans="1:14">
      <c r="A719" s="95">
        <v>681</v>
      </c>
      <c r="B719" s="102" t="e">
        <f t="shared" ca="1" si="130"/>
        <v>#REF!</v>
      </c>
      <c r="C719" s="102" t="e">
        <f t="shared" ca="1" si="131"/>
        <v>#REF!</v>
      </c>
      <c r="D719" s="102" t="e">
        <f t="shared" ca="1" si="132"/>
        <v>#REF!</v>
      </c>
      <c r="E719" s="102" t="e">
        <f t="shared" ca="1" si="133"/>
        <v>#REF!</v>
      </c>
      <c r="F719" s="102" t="e">
        <f t="shared" ca="1" si="134"/>
        <v>#REF!</v>
      </c>
      <c r="G719" s="103">
        <f t="shared" ca="1" si="135"/>
        <v>0.4825851477648373</v>
      </c>
      <c r="H719" s="103">
        <f t="shared" ca="1" si="136"/>
        <v>0.19323789239280542</v>
      </c>
      <c r="I719" s="103" t="e">
        <f t="shared" ca="1" si="137"/>
        <v>#REF!</v>
      </c>
      <c r="J719" s="103" t="e">
        <f t="shared" ca="1" si="138"/>
        <v>#REF!</v>
      </c>
      <c r="K719" s="103" t="e">
        <f t="shared" ca="1" si="139"/>
        <v>#REF!</v>
      </c>
      <c r="L719" s="103" t="e">
        <f t="shared" ca="1" si="140"/>
        <v>#REF!</v>
      </c>
      <c r="M719" s="103" t="e">
        <f t="shared" ca="1" si="141"/>
        <v>#REF!</v>
      </c>
      <c r="N719" s="104" t="e">
        <f t="shared" ca="1" si="142"/>
        <v>#REF!</v>
      </c>
    </row>
    <row r="720" spans="1:14">
      <c r="A720" s="96">
        <v>682</v>
      </c>
      <c r="B720" s="102" t="e">
        <f t="shared" ca="1" si="130"/>
        <v>#REF!</v>
      </c>
      <c r="C720" s="102" t="e">
        <f t="shared" ca="1" si="131"/>
        <v>#REF!</v>
      </c>
      <c r="D720" s="102" t="e">
        <f t="shared" ca="1" si="132"/>
        <v>#REF!</v>
      </c>
      <c r="E720" s="102" t="e">
        <f t="shared" ca="1" si="133"/>
        <v>#REF!</v>
      </c>
      <c r="F720" s="102" t="e">
        <f t="shared" ca="1" si="134"/>
        <v>#REF!</v>
      </c>
      <c r="G720" s="103">
        <f t="shared" ca="1" si="135"/>
        <v>0.43833379899630459</v>
      </c>
      <c r="H720" s="103">
        <f t="shared" ca="1" si="136"/>
        <v>0.20873105065922795</v>
      </c>
      <c r="I720" s="103" t="e">
        <f t="shared" ca="1" si="137"/>
        <v>#REF!</v>
      </c>
      <c r="J720" s="103" t="e">
        <f t="shared" ca="1" si="138"/>
        <v>#REF!</v>
      </c>
      <c r="K720" s="103" t="e">
        <f t="shared" ca="1" si="139"/>
        <v>#REF!</v>
      </c>
      <c r="L720" s="103" t="e">
        <f t="shared" ca="1" si="140"/>
        <v>#REF!</v>
      </c>
      <c r="M720" s="103" t="e">
        <f t="shared" ca="1" si="141"/>
        <v>#REF!</v>
      </c>
      <c r="N720" s="104" t="e">
        <f t="shared" ca="1" si="142"/>
        <v>#REF!</v>
      </c>
    </row>
    <row r="721" spans="1:14">
      <c r="A721" s="95">
        <v>683</v>
      </c>
      <c r="B721" s="102" t="e">
        <f t="shared" ca="1" si="130"/>
        <v>#REF!</v>
      </c>
      <c r="C721" s="102" t="e">
        <f t="shared" ca="1" si="131"/>
        <v>#REF!</v>
      </c>
      <c r="D721" s="102" t="e">
        <f t="shared" ca="1" si="132"/>
        <v>#REF!</v>
      </c>
      <c r="E721" s="102" t="e">
        <f t="shared" ca="1" si="133"/>
        <v>#REF!</v>
      </c>
      <c r="F721" s="102" t="e">
        <f t="shared" ca="1" si="134"/>
        <v>#REF!</v>
      </c>
      <c r="G721" s="103">
        <f t="shared" ca="1" si="135"/>
        <v>0.43227869765359195</v>
      </c>
      <c r="H721" s="103">
        <f t="shared" ca="1" si="136"/>
        <v>0.19586480924261462</v>
      </c>
      <c r="I721" s="103" t="e">
        <f t="shared" ca="1" si="137"/>
        <v>#REF!</v>
      </c>
      <c r="J721" s="103" t="e">
        <f t="shared" ca="1" si="138"/>
        <v>#REF!</v>
      </c>
      <c r="K721" s="103" t="e">
        <f t="shared" ca="1" si="139"/>
        <v>#REF!</v>
      </c>
      <c r="L721" s="103" t="e">
        <f t="shared" ca="1" si="140"/>
        <v>#REF!</v>
      </c>
      <c r="M721" s="103" t="e">
        <f t="shared" ca="1" si="141"/>
        <v>#REF!</v>
      </c>
      <c r="N721" s="104" t="e">
        <f t="shared" ca="1" si="142"/>
        <v>#REF!</v>
      </c>
    </row>
    <row r="722" spans="1:14">
      <c r="A722" s="96">
        <v>684</v>
      </c>
      <c r="B722" s="102" t="e">
        <f t="shared" ca="1" si="130"/>
        <v>#REF!</v>
      </c>
      <c r="C722" s="102" t="e">
        <f t="shared" ca="1" si="131"/>
        <v>#REF!</v>
      </c>
      <c r="D722" s="102" t="e">
        <f t="shared" ca="1" si="132"/>
        <v>#REF!</v>
      </c>
      <c r="E722" s="102" t="e">
        <f t="shared" ca="1" si="133"/>
        <v>#REF!</v>
      </c>
      <c r="F722" s="102" t="e">
        <f t="shared" ca="1" si="134"/>
        <v>#REF!</v>
      </c>
      <c r="G722" s="103">
        <f t="shared" ca="1" si="135"/>
        <v>0.46040903589902271</v>
      </c>
      <c r="H722" s="103">
        <f t="shared" ca="1" si="136"/>
        <v>0.17843806676218285</v>
      </c>
      <c r="I722" s="103" t="e">
        <f t="shared" ca="1" si="137"/>
        <v>#REF!</v>
      </c>
      <c r="J722" s="103" t="e">
        <f t="shared" ca="1" si="138"/>
        <v>#REF!</v>
      </c>
      <c r="K722" s="103" t="e">
        <f t="shared" ca="1" si="139"/>
        <v>#REF!</v>
      </c>
      <c r="L722" s="103" t="e">
        <f t="shared" ca="1" si="140"/>
        <v>#REF!</v>
      </c>
      <c r="M722" s="103" t="e">
        <f t="shared" ca="1" si="141"/>
        <v>#REF!</v>
      </c>
      <c r="N722" s="104" t="e">
        <f t="shared" ca="1" si="142"/>
        <v>#REF!</v>
      </c>
    </row>
    <row r="723" spans="1:14">
      <c r="A723" s="95">
        <v>685</v>
      </c>
      <c r="B723" s="102" t="e">
        <f t="shared" ca="1" si="130"/>
        <v>#REF!</v>
      </c>
      <c r="C723" s="102" t="e">
        <f t="shared" ca="1" si="131"/>
        <v>#REF!</v>
      </c>
      <c r="D723" s="102" t="e">
        <f t="shared" ca="1" si="132"/>
        <v>#REF!</v>
      </c>
      <c r="E723" s="102" t="e">
        <f t="shared" ca="1" si="133"/>
        <v>#REF!</v>
      </c>
      <c r="F723" s="102" t="e">
        <f t="shared" ca="1" si="134"/>
        <v>#REF!</v>
      </c>
      <c r="G723" s="103">
        <f t="shared" ca="1" si="135"/>
        <v>0.46877816547154033</v>
      </c>
      <c r="H723" s="103">
        <f t="shared" ca="1" si="136"/>
        <v>0.18216266946990439</v>
      </c>
      <c r="I723" s="103" t="e">
        <f t="shared" ca="1" si="137"/>
        <v>#REF!</v>
      </c>
      <c r="J723" s="103" t="e">
        <f t="shared" ca="1" si="138"/>
        <v>#REF!</v>
      </c>
      <c r="K723" s="103" t="e">
        <f t="shared" ca="1" si="139"/>
        <v>#REF!</v>
      </c>
      <c r="L723" s="103" t="e">
        <f t="shared" ca="1" si="140"/>
        <v>#REF!</v>
      </c>
      <c r="M723" s="103" t="e">
        <f t="shared" ca="1" si="141"/>
        <v>#REF!</v>
      </c>
      <c r="N723" s="104" t="e">
        <f t="shared" ca="1" si="142"/>
        <v>#REF!</v>
      </c>
    </row>
    <row r="724" spans="1:14">
      <c r="A724" s="96">
        <v>686</v>
      </c>
      <c r="B724" s="102" t="e">
        <f t="shared" ca="1" si="130"/>
        <v>#REF!</v>
      </c>
      <c r="C724" s="102" t="e">
        <f t="shared" ca="1" si="131"/>
        <v>#REF!</v>
      </c>
      <c r="D724" s="102" t="e">
        <f t="shared" ca="1" si="132"/>
        <v>#REF!</v>
      </c>
      <c r="E724" s="102" t="e">
        <f t="shared" ca="1" si="133"/>
        <v>#REF!</v>
      </c>
      <c r="F724" s="102" t="e">
        <f t="shared" ca="1" si="134"/>
        <v>#REF!</v>
      </c>
      <c r="G724" s="103">
        <f t="shared" ca="1" si="135"/>
        <v>0.44479426657168725</v>
      </c>
      <c r="H724" s="103">
        <f t="shared" ca="1" si="136"/>
        <v>0.20081806029678384</v>
      </c>
      <c r="I724" s="103" t="e">
        <f t="shared" ca="1" si="137"/>
        <v>#REF!</v>
      </c>
      <c r="J724" s="103" t="e">
        <f t="shared" ca="1" si="138"/>
        <v>#REF!</v>
      </c>
      <c r="K724" s="103" t="e">
        <f t="shared" ca="1" si="139"/>
        <v>#REF!</v>
      </c>
      <c r="L724" s="103" t="e">
        <f t="shared" ca="1" si="140"/>
        <v>#REF!</v>
      </c>
      <c r="M724" s="103" t="e">
        <f t="shared" ca="1" si="141"/>
        <v>#REF!</v>
      </c>
      <c r="N724" s="104" t="e">
        <f t="shared" ca="1" si="142"/>
        <v>#REF!</v>
      </c>
    </row>
    <row r="725" spans="1:14">
      <c r="A725" s="95">
        <v>687</v>
      </c>
      <c r="B725" s="102" t="e">
        <f t="shared" ca="1" si="130"/>
        <v>#REF!</v>
      </c>
      <c r="C725" s="102" t="e">
        <f t="shared" ca="1" si="131"/>
        <v>#REF!</v>
      </c>
      <c r="D725" s="102" t="e">
        <f t="shared" ca="1" si="132"/>
        <v>#REF!</v>
      </c>
      <c r="E725" s="102" t="e">
        <f t="shared" ca="1" si="133"/>
        <v>#REF!</v>
      </c>
      <c r="F725" s="102" t="e">
        <f t="shared" ca="1" si="134"/>
        <v>#REF!</v>
      </c>
      <c r="G725" s="103">
        <f t="shared" ca="1" si="135"/>
        <v>0.43013458467683063</v>
      </c>
      <c r="H725" s="103">
        <f t="shared" ca="1" si="136"/>
        <v>0.22320840284417781</v>
      </c>
      <c r="I725" s="103" t="e">
        <f t="shared" ca="1" si="137"/>
        <v>#REF!</v>
      </c>
      <c r="J725" s="103" t="e">
        <f t="shared" ca="1" si="138"/>
        <v>#REF!</v>
      </c>
      <c r="K725" s="103" t="e">
        <f t="shared" ca="1" si="139"/>
        <v>#REF!</v>
      </c>
      <c r="L725" s="103" t="e">
        <f t="shared" ca="1" si="140"/>
        <v>#REF!</v>
      </c>
      <c r="M725" s="103" t="e">
        <f t="shared" ca="1" si="141"/>
        <v>#REF!</v>
      </c>
      <c r="N725" s="104" t="e">
        <f t="shared" ca="1" si="142"/>
        <v>#REF!</v>
      </c>
    </row>
    <row r="726" spans="1:14">
      <c r="A726" s="96">
        <v>688</v>
      </c>
      <c r="B726" s="102" t="e">
        <f t="shared" ca="1" si="130"/>
        <v>#REF!</v>
      </c>
      <c r="C726" s="102" t="e">
        <f t="shared" ca="1" si="131"/>
        <v>#REF!</v>
      </c>
      <c r="D726" s="102" t="e">
        <f t="shared" ca="1" si="132"/>
        <v>#REF!</v>
      </c>
      <c r="E726" s="102" t="e">
        <f t="shared" ca="1" si="133"/>
        <v>#REF!</v>
      </c>
      <c r="F726" s="102" t="e">
        <f t="shared" ca="1" si="134"/>
        <v>#REF!</v>
      </c>
      <c r="G726" s="103">
        <f t="shared" ca="1" si="135"/>
        <v>0.47699215433774705</v>
      </c>
      <c r="H726" s="103">
        <f t="shared" ca="1" si="136"/>
        <v>0.22437936635349465</v>
      </c>
      <c r="I726" s="103" t="e">
        <f t="shared" ca="1" si="137"/>
        <v>#REF!</v>
      </c>
      <c r="J726" s="103" t="e">
        <f t="shared" ca="1" si="138"/>
        <v>#REF!</v>
      </c>
      <c r="K726" s="103" t="e">
        <f t="shared" ca="1" si="139"/>
        <v>#REF!</v>
      </c>
      <c r="L726" s="103" t="e">
        <f t="shared" ca="1" si="140"/>
        <v>#REF!</v>
      </c>
      <c r="M726" s="103" t="e">
        <f t="shared" ca="1" si="141"/>
        <v>#REF!</v>
      </c>
      <c r="N726" s="104" t="e">
        <f t="shared" ca="1" si="142"/>
        <v>#REF!</v>
      </c>
    </row>
    <row r="727" spans="1:14">
      <c r="A727" s="95">
        <v>689</v>
      </c>
      <c r="B727" s="102" t="e">
        <f t="shared" ca="1" si="130"/>
        <v>#REF!</v>
      </c>
      <c r="C727" s="102" t="e">
        <f t="shared" ca="1" si="131"/>
        <v>#REF!</v>
      </c>
      <c r="D727" s="102" t="e">
        <f t="shared" ca="1" si="132"/>
        <v>#REF!</v>
      </c>
      <c r="E727" s="102" t="e">
        <f t="shared" ca="1" si="133"/>
        <v>#REF!</v>
      </c>
      <c r="F727" s="102" t="e">
        <f t="shared" ca="1" si="134"/>
        <v>#REF!</v>
      </c>
      <c r="G727" s="103">
        <f t="shared" ca="1" si="135"/>
        <v>0.49023615929773762</v>
      </c>
      <c r="H727" s="103">
        <f t="shared" ca="1" si="136"/>
        <v>0.19915218033870524</v>
      </c>
      <c r="I727" s="103" t="e">
        <f t="shared" ca="1" si="137"/>
        <v>#REF!</v>
      </c>
      <c r="J727" s="103" t="e">
        <f t="shared" ca="1" si="138"/>
        <v>#REF!</v>
      </c>
      <c r="K727" s="103" t="e">
        <f t="shared" ca="1" si="139"/>
        <v>#REF!</v>
      </c>
      <c r="L727" s="103" t="e">
        <f t="shared" ca="1" si="140"/>
        <v>#REF!</v>
      </c>
      <c r="M727" s="103" t="e">
        <f t="shared" ca="1" si="141"/>
        <v>#REF!</v>
      </c>
      <c r="N727" s="104" t="e">
        <f t="shared" ca="1" si="142"/>
        <v>#REF!</v>
      </c>
    </row>
    <row r="728" spans="1:14">
      <c r="A728" s="96">
        <v>690</v>
      </c>
      <c r="B728" s="102" t="e">
        <f t="shared" ca="1" si="130"/>
        <v>#REF!</v>
      </c>
      <c r="C728" s="102" t="e">
        <f t="shared" ca="1" si="131"/>
        <v>#REF!</v>
      </c>
      <c r="D728" s="102" t="e">
        <f t="shared" ca="1" si="132"/>
        <v>#REF!</v>
      </c>
      <c r="E728" s="102" t="e">
        <f t="shared" ca="1" si="133"/>
        <v>#REF!</v>
      </c>
      <c r="F728" s="102" t="e">
        <f t="shared" ca="1" si="134"/>
        <v>#REF!</v>
      </c>
      <c r="G728" s="103">
        <f t="shared" ca="1" si="135"/>
        <v>0.43732475397375764</v>
      </c>
      <c r="H728" s="103">
        <f t="shared" ca="1" si="136"/>
        <v>0.19422079557012401</v>
      </c>
      <c r="I728" s="103" t="e">
        <f t="shared" ca="1" si="137"/>
        <v>#REF!</v>
      </c>
      <c r="J728" s="103" t="e">
        <f t="shared" ca="1" si="138"/>
        <v>#REF!</v>
      </c>
      <c r="K728" s="103" t="e">
        <f t="shared" ca="1" si="139"/>
        <v>#REF!</v>
      </c>
      <c r="L728" s="103" t="e">
        <f t="shared" ca="1" si="140"/>
        <v>#REF!</v>
      </c>
      <c r="M728" s="103" t="e">
        <f t="shared" ca="1" si="141"/>
        <v>#REF!</v>
      </c>
      <c r="N728" s="104" t="e">
        <f t="shared" ca="1" si="142"/>
        <v>#REF!</v>
      </c>
    </row>
    <row r="729" spans="1:14">
      <c r="A729" s="95">
        <v>691</v>
      </c>
      <c r="B729" s="102" t="e">
        <f t="shared" ca="1" si="130"/>
        <v>#REF!</v>
      </c>
      <c r="C729" s="102" t="e">
        <f t="shared" ca="1" si="131"/>
        <v>#REF!</v>
      </c>
      <c r="D729" s="102" t="e">
        <f t="shared" ca="1" si="132"/>
        <v>#REF!</v>
      </c>
      <c r="E729" s="102" t="e">
        <f t="shared" ca="1" si="133"/>
        <v>#REF!</v>
      </c>
      <c r="F729" s="102" t="e">
        <f t="shared" ca="1" si="134"/>
        <v>#REF!</v>
      </c>
      <c r="G729" s="103">
        <f t="shared" ca="1" si="135"/>
        <v>0.420848567629445</v>
      </c>
      <c r="H729" s="103">
        <f t="shared" ca="1" si="136"/>
        <v>0.205219131495783</v>
      </c>
      <c r="I729" s="103" t="e">
        <f t="shared" ca="1" si="137"/>
        <v>#REF!</v>
      </c>
      <c r="J729" s="103" t="e">
        <f t="shared" ca="1" si="138"/>
        <v>#REF!</v>
      </c>
      <c r="K729" s="103" t="e">
        <f t="shared" ca="1" si="139"/>
        <v>#REF!</v>
      </c>
      <c r="L729" s="103" t="e">
        <f t="shared" ca="1" si="140"/>
        <v>#REF!</v>
      </c>
      <c r="M729" s="103" t="e">
        <f t="shared" ca="1" si="141"/>
        <v>#REF!</v>
      </c>
      <c r="N729" s="104" t="e">
        <f t="shared" ca="1" si="142"/>
        <v>#REF!</v>
      </c>
    </row>
    <row r="730" spans="1:14">
      <c r="A730" s="96">
        <v>692</v>
      </c>
      <c r="B730" s="102" t="e">
        <f t="shared" ca="1" si="130"/>
        <v>#REF!</v>
      </c>
      <c r="C730" s="102" t="e">
        <f t="shared" ca="1" si="131"/>
        <v>#REF!</v>
      </c>
      <c r="D730" s="102" t="e">
        <f t="shared" ca="1" si="132"/>
        <v>#REF!</v>
      </c>
      <c r="E730" s="102" t="e">
        <f t="shared" ca="1" si="133"/>
        <v>#REF!</v>
      </c>
      <c r="F730" s="102" t="e">
        <f t="shared" ca="1" si="134"/>
        <v>#REF!</v>
      </c>
      <c r="G730" s="103">
        <f t="shared" ca="1" si="135"/>
        <v>0.3950416814396564</v>
      </c>
      <c r="H730" s="103">
        <f t="shared" ca="1" si="136"/>
        <v>0.21778778121063092</v>
      </c>
      <c r="I730" s="103" t="e">
        <f t="shared" ca="1" si="137"/>
        <v>#REF!</v>
      </c>
      <c r="J730" s="103" t="e">
        <f t="shared" ca="1" si="138"/>
        <v>#REF!</v>
      </c>
      <c r="K730" s="103" t="e">
        <f t="shared" ca="1" si="139"/>
        <v>#REF!</v>
      </c>
      <c r="L730" s="103" t="e">
        <f t="shared" ca="1" si="140"/>
        <v>#REF!</v>
      </c>
      <c r="M730" s="103" t="e">
        <f t="shared" ca="1" si="141"/>
        <v>#REF!</v>
      </c>
      <c r="N730" s="104" t="e">
        <f t="shared" ca="1" si="142"/>
        <v>#REF!</v>
      </c>
    </row>
    <row r="731" spans="1:14">
      <c r="A731" s="95">
        <v>693</v>
      </c>
      <c r="B731" s="102" t="e">
        <f t="shared" ca="1" si="130"/>
        <v>#REF!</v>
      </c>
      <c r="C731" s="102" t="e">
        <f t="shared" ca="1" si="131"/>
        <v>#REF!</v>
      </c>
      <c r="D731" s="102" t="e">
        <f t="shared" ca="1" si="132"/>
        <v>#REF!</v>
      </c>
      <c r="E731" s="102" t="e">
        <f t="shared" ca="1" si="133"/>
        <v>#REF!</v>
      </c>
      <c r="F731" s="102" t="e">
        <f t="shared" ca="1" si="134"/>
        <v>#REF!</v>
      </c>
      <c r="G731" s="103">
        <f t="shared" ca="1" si="135"/>
        <v>0.42477501011188434</v>
      </c>
      <c r="H731" s="103">
        <f t="shared" ca="1" si="136"/>
        <v>0.21942905219075076</v>
      </c>
      <c r="I731" s="103" t="e">
        <f t="shared" ca="1" si="137"/>
        <v>#REF!</v>
      </c>
      <c r="J731" s="103" t="e">
        <f t="shared" ca="1" si="138"/>
        <v>#REF!</v>
      </c>
      <c r="K731" s="103" t="e">
        <f t="shared" ca="1" si="139"/>
        <v>#REF!</v>
      </c>
      <c r="L731" s="103" t="e">
        <f t="shared" ca="1" si="140"/>
        <v>#REF!</v>
      </c>
      <c r="M731" s="103" t="e">
        <f t="shared" ca="1" si="141"/>
        <v>#REF!</v>
      </c>
      <c r="N731" s="104" t="e">
        <f t="shared" ca="1" si="142"/>
        <v>#REF!</v>
      </c>
    </row>
    <row r="732" spans="1:14">
      <c r="A732" s="96">
        <v>694</v>
      </c>
      <c r="B732" s="102" t="e">
        <f t="shared" ca="1" si="130"/>
        <v>#REF!</v>
      </c>
      <c r="C732" s="102" t="e">
        <f t="shared" ca="1" si="131"/>
        <v>#REF!</v>
      </c>
      <c r="D732" s="102" t="e">
        <f t="shared" ca="1" si="132"/>
        <v>#REF!</v>
      </c>
      <c r="E732" s="102" t="e">
        <f t="shared" ca="1" si="133"/>
        <v>#REF!</v>
      </c>
      <c r="F732" s="102" t="e">
        <f t="shared" ca="1" si="134"/>
        <v>#REF!</v>
      </c>
      <c r="G732" s="103">
        <f t="shared" ca="1" si="135"/>
        <v>0.39931177189634021</v>
      </c>
      <c r="H732" s="103">
        <f t="shared" ca="1" si="136"/>
        <v>0.18771474563781751</v>
      </c>
      <c r="I732" s="103" t="e">
        <f t="shared" ca="1" si="137"/>
        <v>#REF!</v>
      </c>
      <c r="J732" s="103" t="e">
        <f t="shared" ca="1" si="138"/>
        <v>#REF!</v>
      </c>
      <c r="K732" s="103" t="e">
        <f t="shared" ca="1" si="139"/>
        <v>#REF!</v>
      </c>
      <c r="L732" s="103" t="e">
        <f t="shared" ca="1" si="140"/>
        <v>#REF!</v>
      </c>
      <c r="M732" s="103" t="e">
        <f t="shared" ca="1" si="141"/>
        <v>#REF!</v>
      </c>
      <c r="N732" s="104" t="e">
        <f t="shared" ca="1" si="142"/>
        <v>#REF!</v>
      </c>
    </row>
    <row r="733" spans="1:14">
      <c r="A733" s="95">
        <v>695</v>
      </c>
      <c r="B733" s="102" t="e">
        <f t="shared" ca="1" si="130"/>
        <v>#REF!</v>
      </c>
      <c r="C733" s="102" t="e">
        <f t="shared" ca="1" si="131"/>
        <v>#REF!</v>
      </c>
      <c r="D733" s="102" t="e">
        <f t="shared" ca="1" si="132"/>
        <v>#REF!</v>
      </c>
      <c r="E733" s="102" t="e">
        <f t="shared" ca="1" si="133"/>
        <v>#REF!</v>
      </c>
      <c r="F733" s="102" t="e">
        <f t="shared" ca="1" si="134"/>
        <v>#REF!</v>
      </c>
      <c r="G733" s="103">
        <f t="shared" ca="1" si="135"/>
        <v>0.42121790900843387</v>
      </c>
      <c r="H733" s="103">
        <f t="shared" ca="1" si="136"/>
        <v>0.2083437462960433</v>
      </c>
      <c r="I733" s="103" t="e">
        <f t="shared" ca="1" si="137"/>
        <v>#REF!</v>
      </c>
      <c r="J733" s="103" t="e">
        <f t="shared" ca="1" si="138"/>
        <v>#REF!</v>
      </c>
      <c r="K733" s="103" t="e">
        <f t="shared" ca="1" si="139"/>
        <v>#REF!</v>
      </c>
      <c r="L733" s="103" t="e">
        <f t="shared" ca="1" si="140"/>
        <v>#REF!</v>
      </c>
      <c r="M733" s="103" t="e">
        <f t="shared" ca="1" si="141"/>
        <v>#REF!</v>
      </c>
      <c r="N733" s="104" t="e">
        <f t="shared" ca="1" si="142"/>
        <v>#REF!</v>
      </c>
    </row>
    <row r="734" spans="1:14">
      <c r="A734" s="96">
        <v>696</v>
      </c>
      <c r="B734" s="102" t="e">
        <f t="shared" ca="1" si="130"/>
        <v>#REF!</v>
      </c>
      <c r="C734" s="102" t="e">
        <f t="shared" ca="1" si="131"/>
        <v>#REF!</v>
      </c>
      <c r="D734" s="102" t="e">
        <f t="shared" ca="1" si="132"/>
        <v>#REF!</v>
      </c>
      <c r="E734" s="102" t="e">
        <f t="shared" ca="1" si="133"/>
        <v>#REF!</v>
      </c>
      <c r="F734" s="102" t="e">
        <f t="shared" ca="1" si="134"/>
        <v>#REF!</v>
      </c>
      <c r="G734" s="103">
        <f t="shared" ca="1" si="135"/>
        <v>0.46687852990316703</v>
      </c>
      <c r="H734" s="103">
        <f t="shared" ca="1" si="136"/>
        <v>0.18909807460831859</v>
      </c>
      <c r="I734" s="103" t="e">
        <f t="shared" ca="1" si="137"/>
        <v>#REF!</v>
      </c>
      <c r="J734" s="103" t="e">
        <f t="shared" ca="1" si="138"/>
        <v>#REF!</v>
      </c>
      <c r="K734" s="103" t="e">
        <f t="shared" ca="1" si="139"/>
        <v>#REF!</v>
      </c>
      <c r="L734" s="103" t="e">
        <f t="shared" ca="1" si="140"/>
        <v>#REF!</v>
      </c>
      <c r="M734" s="103" t="e">
        <f t="shared" ca="1" si="141"/>
        <v>#REF!</v>
      </c>
      <c r="N734" s="104" t="e">
        <f t="shared" ca="1" si="142"/>
        <v>#REF!</v>
      </c>
    </row>
    <row r="735" spans="1:14">
      <c r="A735" s="95">
        <v>697</v>
      </c>
      <c r="B735" s="102" t="e">
        <f t="shared" ca="1" si="130"/>
        <v>#REF!</v>
      </c>
      <c r="C735" s="102" t="e">
        <f t="shared" ca="1" si="131"/>
        <v>#REF!</v>
      </c>
      <c r="D735" s="102" t="e">
        <f t="shared" ca="1" si="132"/>
        <v>#REF!</v>
      </c>
      <c r="E735" s="102" t="e">
        <f t="shared" ca="1" si="133"/>
        <v>#REF!</v>
      </c>
      <c r="F735" s="102" t="e">
        <f t="shared" ca="1" si="134"/>
        <v>#REF!</v>
      </c>
      <c r="G735" s="103">
        <f t="shared" ca="1" si="135"/>
        <v>0.43865346693538565</v>
      </c>
      <c r="H735" s="103">
        <f t="shared" ca="1" si="136"/>
        <v>0.20300292230059933</v>
      </c>
      <c r="I735" s="103" t="e">
        <f t="shared" ca="1" si="137"/>
        <v>#REF!</v>
      </c>
      <c r="J735" s="103" t="e">
        <f t="shared" ca="1" si="138"/>
        <v>#REF!</v>
      </c>
      <c r="K735" s="103" t="e">
        <f t="shared" ca="1" si="139"/>
        <v>#REF!</v>
      </c>
      <c r="L735" s="103" t="e">
        <f t="shared" ca="1" si="140"/>
        <v>#REF!</v>
      </c>
      <c r="M735" s="103" t="e">
        <f t="shared" ca="1" si="141"/>
        <v>#REF!</v>
      </c>
      <c r="N735" s="104" t="e">
        <f t="shared" ca="1" si="142"/>
        <v>#REF!</v>
      </c>
    </row>
    <row r="736" spans="1:14">
      <c r="A736" s="96">
        <v>698</v>
      </c>
      <c r="B736" s="102" t="e">
        <f t="shared" ca="1" si="130"/>
        <v>#REF!</v>
      </c>
      <c r="C736" s="102" t="e">
        <f t="shared" ca="1" si="131"/>
        <v>#REF!</v>
      </c>
      <c r="D736" s="102" t="e">
        <f t="shared" ca="1" si="132"/>
        <v>#REF!</v>
      </c>
      <c r="E736" s="102" t="e">
        <f t="shared" ca="1" si="133"/>
        <v>#REF!</v>
      </c>
      <c r="F736" s="102" t="e">
        <f t="shared" ca="1" si="134"/>
        <v>#REF!</v>
      </c>
      <c r="G736" s="103">
        <f t="shared" ca="1" si="135"/>
        <v>0.47921421557717353</v>
      </c>
      <c r="H736" s="103">
        <f t="shared" ca="1" si="136"/>
        <v>0.20438067068903465</v>
      </c>
      <c r="I736" s="103" t="e">
        <f t="shared" ca="1" si="137"/>
        <v>#REF!</v>
      </c>
      <c r="J736" s="103" t="e">
        <f t="shared" ca="1" si="138"/>
        <v>#REF!</v>
      </c>
      <c r="K736" s="103" t="e">
        <f t="shared" ca="1" si="139"/>
        <v>#REF!</v>
      </c>
      <c r="L736" s="103" t="e">
        <f t="shared" ca="1" si="140"/>
        <v>#REF!</v>
      </c>
      <c r="M736" s="103" t="e">
        <f t="shared" ca="1" si="141"/>
        <v>#REF!</v>
      </c>
      <c r="N736" s="104" t="e">
        <f t="shared" ca="1" si="142"/>
        <v>#REF!</v>
      </c>
    </row>
    <row r="737" spans="1:14">
      <c r="A737" s="95">
        <v>699</v>
      </c>
      <c r="B737" s="102" t="e">
        <f t="shared" ca="1" si="130"/>
        <v>#REF!</v>
      </c>
      <c r="C737" s="102" t="e">
        <f t="shared" ca="1" si="131"/>
        <v>#REF!</v>
      </c>
      <c r="D737" s="102" t="e">
        <f t="shared" ca="1" si="132"/>
        <v>#REF!</v>
      </c>
      <c r="E737" s="102" t="e">
        <f t="shared" ca="1" si="133"/>
        <v>#REF!</v>
      </c>
      <c r="F737" s="102" t="e">
        <f t="shared" ca="1" si="134"/>
        <v>#REF!</v>
      </c>
      <c r="G737" s="103">
        <f t="shared" ca="1" si="135"/>
        <v>0.46457044798865355</v>
      </c>
      <c r="H737" s="103">
        <f t="shared" ca="1" si="136"/>
        <v>0.21171765495531433</v>
      </c>
      <c r="I737" s="103" t="e">
        <f t="shared" ca="1" si="137"/>
        <v>#REF!</v>
      </c>
      <c r="J737" s="103" t="e">
        <f t="shared" ca="1" si="138"/>
        <v>#REF!</v>
      </c>
      <c r="K737" s="103" t="e">
        <f t="shared" ca="1" si="139"/>
        <v>#REF!</v>
      </c>
      <c r="L737" s="103" t="e">
        <f t="shared" ca="1" si="140"/>
        <v>#REF!</v>
      </c>
      <c r="M737" s="103" t="e">
        <f t="shared" ca="1" si="141"/>
        <v>#REF!</v>
      </c>
      <c r="N737" s="104" t="e">
        <f t="shared" ca="1" si="142"/>
        <v>#REF!</v>
      </c>
    </row>
    <row r="738" spans="1:14">
      <c r="A738" s="96">
        <v>700</v>
      </c>
      <c r="B738" s="102" t="e">
        <f t="shared" ca="1" si="130"/>
        <v>#REF!</v>
      </c>
      <c r="C738" s="102" t="e">
        <f t="shared" ca="1" si="131"/>
        <v>#REF!</v>
      </c>
      <c r="D738" s="102" t="e">
        <f t="shared" ca="1" si="132"/>
        <v>#REF!</v>
      </c>
      <c r="E738" s="102" t="e">
        <f t="shared" ca="1" si="133"/>
        <v>#REF!</v>
      </c>
      <c r="F738" s="102" t="e">
        <f t="shared" ca="1" si="134"/>
        <v>#REF!</v>
      </c>
      <c r="G738" s="103">
        <f t="shared" ca="1" si="135"/>
        <v>0.45686371585092006</v>
      </c>
      <c r="H738" s="103">
        <f t="shared" ca="1" si="136"/>
        <v>0.18075415007780984</v>
      </c>
      <c r="I738" s="103" t="e">
        <f t="shared" ca="1" si="137"/>
        <v>#REF!</v>
      </c>
      <c r="J738" s="103" t="e">
        <f t="shared" ca="1" si="138"/>
        <v>#REF!</v>
      </c>
      <c r="K738" s="103" t="e">
        <f t="shared" ca="1" si="139"/>
        <v>#REF!</v>
      </c>
      <c r="L738" s="103" t="e">
        <f t="shared" ca="1" si="140"/>
        <v>#REF!</v>
      </c>
      <c r="M738" s="103" t="e">
        <f t="shared" ca="1" si="141"/>
        <v>#REF!</v>
      </c>
      <c r="N738" s="104" t="e">
        <f t="shared" ca="1" si="142"/>
        <v>#REF!</v>
      </c>
    </row>
    <row r="739" spans="1:14">
      <c r="A739" s="95">
        <v>701</v>
      </c>
      <c r="B739" s="102" t="e">
        <f t="shared" ca="1" si="130"/>
        <v>#REF!</v>
      </c>
      <c r="C739" s="102" t="e">
        <f t="shared" ca="1" si="131"/>
        <v>#REF!</v>
      </c>
      <c r="D739" s="102" t="e">
        <f t="shared" ca="1" si="132"/>
        <v>#REF!</v>
      </c>
      <c r="E739" s="102" t="e">
        <f t="shared" ca="1" si="133"/>
        <v>#REF!</v>
      </c>
      <c r="F739" s="102" t="e">
        <f t="shared" ca="1" si="134"/>
        <v>#REF!</v>
      </c>
      <c r="G739" s="103">
        <f t="shared" ca="1" si="135"/>
        <v>0.41372193802463858</v>
      </c>
      <c r="H739" s="103">
        <f t="shared" ca="1" si="136"/>
        <v>0.1837991417241458</v>
      </c>
      <c r="I739" s="103" t="e">
        <f t="shared" ca="1" si="137"/>
        <v>#REF!</v>
      </c>
      <c r="J739" s="103" t="e">
        <f t="shared" ca="1" si="138"/>
        <v>#REF!</v>
      </c>
      <c r="K739" s="103" t="e">
        <f t="shared" ca="1" si="139"/>
        <v>#REF!</v>
      </c>
      <c r="L739" s="103" t="e">
        <f t="shared" ca="1" si="140"/>
        <v>#REF!</v>
      </c>
      <c r="M739" s="103" t="e">
        <f t="shared" ca="1" si="141"/>
        <v>#REF!</v>
      </c>
      <c r="N739" s="104" t="e">
        <f t="shared" ca="1" si="142"/>
        <v>#REF!</v>
      </c>
    </row>
    <row r="740" spans="1:14">
      <c r="A740" s="96">
        <v>702</v>
      </c>
      <c r="B740" s="102" t="e">
        <f t="shared" ca="1" si="130"/>
        <v>#REF!</v>
      </c>
      <c r="C740" s="102" t="e">
        <f t="shared" ca="1" si="131"/>
        <v>#REF!</v>
      </c>
      <c r="D740" s="102" t="e">
        <f t="shared" ca="1" si="132"/>
        <v>#REF!</v>
      </c>
      <c r="E740" s="102" t="e">
        <f t="shared" ca="1" si="133"/>
        <v>#REF!</v>
      </c>
      <c r="F740" s="102" t="e">
        <f t="shared" ca="1" si="134"/>
        <v>#REF!</v>
      </c>
      <c r="G740" s="103">
        <f t="shared" ca="1" si="135"/>
        <v>0.43170710370885557</v>
      </c>
      <c r="H740" s="103">
        <f t="shared" ca="1" si="136"/>
        <v>0.20809754104407849</v>
      </c>
      <c r="I740" s="103" t="e">
        <f t="shared" ca="1" si="137"/>
        <v>#REF!</v>
      </c>
      <c r="J740" s="103" t="e">
        <f t="shared" ca="1" si="138"/>
        <v>#REF!</v>
      </c>
      <c r="K740" s="103" t="e">
        <f t="shared" ca="1" si="139"/>
        <v>#REF!</v>
      </c>
      <c r="L740" s="103" t="e">
        <f t="shared" ca="1" si="140"/>
        <v>#REF!</v>
      </c>
      <c r="M740" s="103" t="e">
        <f t="shared" ca="1" si="141"/>
        <v>#REF!</v>
      </c>
      <c r="N740" s="104" t="e">
        <f t="shared" ca="1" si="142"/>
        <v>#REF!</v>
      </c>
    </row>
    <row r="741" spans="1:14">
      <c r="A741" s="95">
        <v>703</v>
      </c>
      <c r="B741" s="102" t="e">
        <f t="shared" ca="1" si="130"/>
        <v>#REF!</v>
      </c>
      <c r="C741" s="102" t="e">
        <f t="shared" ca="1" si="131"/>
        <v>#REF!</v>
      </c>
      <c r="D741" s="102" t="e">
        <f t="shared" ca="1" si="132"/>
        <v>#REF!</v>
      </c>
      <c r="E741" s="102" t="e">
        <f t="shared" ca="1" si="133"/>
        <v>#REF!</v>
      </c>
      <c r="F741" s="102" t="e">
        <f t="shared" ca="1" si="134"/>
        <v>#REF!</v>
      </c>
      <c r="G741" s="103">
        <f t="shared" ca="1" si="135"/>
        <v>0.43420631051319947</v>
      </c>
      <c r="H741" s="103">
        <f t="shared" ca="1" si="136"/>
        <v>0.19434518612470325</v>
      </c>
      <c r="I741" s="103" t="e">
        <f t="shared" ca="1" si="137"/>
        <v>#REF!</v>
      </c>
      <c r="J741" s="103" t="e">
        <f t="shared" ca="1" si="138"/>
        <v>#REF!</v>
      </c>
      <c r="K741" s="103" t="e">
        <f t="shared" ca="1" si="139"/>
        <v>#REF!</v>
      </c>
      <c r="L741" s="103" t="e">
        <f t="shared" ca="1" si="140"/>
        <v>#REF!</v>
      </c>
      <c r="M741" s="103" t="e">
        <f t="shared" ca="1" si="141"/>
        <v>#REF!</v>
      </c>
      <c r="N741" s="104" t="e">
        <f t="shared" ca="1" si="142"/>
        <v>#REF!</v>
      </c>
    </row>
    <row r="742" spans="1:14">
      <c r="A742" s="96">
        <v>704</v>
      </c>
      <c r="B742" s="102" t="e">
        <f t="shared" ca="1" si="130"/>
        <v>#REF!</v>
      </c>
      <c r="C742" s="102" t="e">
        <f t="shared" ca="1" si="131"/>
        <v>#REF!</v>
      </c>
      <c r="D742" s="102" t="e">
        <f t="shared" ca="1" si="132"/>
        <v>#REF!</v>
      </c>
      <c r="E742" s="102" t="e">
        <f t="shared" ca="1" si="133"/>
        <v>#REF!</v>
      </c>
      <c r="F742" s="102" t="e">
        <f t="shared" ca="1" si="134"/>
        <v>#REF!</v>
      </c>
      <c r="G742" s="103">
        <f t="shared" ca="1" si="135"/>
        <v>0.43974726968588634</v>
      </c>
      <c r="H742" s="103">
        <f t="shared" ca="1" si="136"/>
        <v>0.19573027039166618</v>
      </c>
      <c r="I742" s="103" t="e">
        <f t="shared" ca="1" si="137"/>
        <v>#REF!</v>
      </c>
      <c r="J742" s="103" t="e">
        <f t="shared" ca="1" si="138"/>
        <v>#REF!</v>
      </c>
      <c r="K742" s="103" t="e">
        <f t="shared" ca="1" si="139"/>
        <v>#REF!</v>
      </c>
      <c r="L742" s="103" t="e">
        <f t="shared" ca="1" si="140"/>
        <v>#REF!</v>
      </c>
      <c r="M742" s="103" t="e">
        <f t="shared" ca="1" si="141"/>
        <v>#REF!</v>
      </c>
      <c r="N742" s="104" t="e">
        <f t="shared" ca="1" si="142"/>
        <v>#REF!</v>
      </c>
    </row>
    <row r="743" spans="1:14">
      <c r="A743" s="95">
        <v>705</v>
      </c>
      <c r="B743" s="102" t="e">
        <f t="shared" ca="1" si="130"/>
        <v>#REF!</v>
      </c>
      <c r="C743" s="102" t="e">
        <f t="shared" ca="1" si="131"/>
        <v>#REF!</v>
      </c>
      <c r="D743" s="102" t="e">
        <f t="shared" ca="1" si="132"/>
        <v>#REF!</v>
      </c>
      <c r="E743" s="102" t="e">
        <f t="shared" ca="1" si="133"/>
        <v>#REF!</v>
      </c>
      <c r="F743" s="102" t="e">
        <f t="shared" ca="1" si="134"/>
        <v>#REF!</v>
      </c>
      <c r="G743" s="103">
        <f t="shared" ca="1" si="135"/>
        <v>0.47196327347014644</v>
      </c>
      <c r="H743" s="103">
        <f t="shared" ca="1" si="136"/>
        <v>0.19866414999613696</v>
      </c>
      <c r="I743" s="103" t="e">
        <f t="shared" ca="1" si="137"/>
        <v>#REF!</v>
      </c>
      <c r="J743" s="103" t="e">
        <f t="shared" ca="1" si="138"/>
        <v>#REF!</v>
      </c>
      <c r="K743" s="103" t="e">
        <f t="shared" ca="1" si="139"/>
        <v>#REF!</v>
      </c>
      <c r="L743" s="103" t="e">
        <f t="shared" ca="1" si="140"/>
        <v>#REF!</v>
      </c>
      <c r="M743" s="103" t="e">
        <f t="shared" ca="1" si="141"/>
        <v>#REF!</v>
      </c>
      <c r="N743" s="104" t="e">
        <f t="shared" ca="1" si="142"/>
        <v>#REF!</v>
      </c>
    </row>
    <row r="744" spans="1:14">
      <c r="A744" s="96">
        <v>706</v>
      </c>
      <c r="B744" s="102" t="e">
        <f t="shared" ref="B744:B807" ca="1" si="143">_xlfn.LOGNORM.INV(RAND(),$D$5,$E$5)</f>
        <v>#REF!</v>
      </c>
      <c r="C744" s="102" t="e">
        <f t="shared" ref="C744:C807" ca="1" si="144">_xlfn.LOGNORM.INV(RAND(),$D$6,$E$6)</f>
        <v>#REF!</v>
      </c>
      <c r="D744" s="102" t="e">
        <f t="shared" ref="D744:D807" ca="1" si="145">_xlfn.LOGNORM.INV(RAND(),$D$7,$E$7)</f>
        <v>#REF!</v>
      </c>
      <c r="E744" s="102" t="e">
        <f t="shared" ref="E744:E807" ca="1" si="146">_xlfn.LOGNORM.INV(RAND(),$D$8,$E$8)</f>
        <v>#REF!</v>
      </c>
      <c r="F744" s="102" t="e">
        <f t="shared" ref="F744:F807" ca="1" si="147">_xlfn.LOGNORM.INV(RAND(),$D$9,$E$9)</f>
        <v>#REF!</v>
      </c>
      <c r="G744" s="103">
        <f t="shared" ref="G744:G807" ca="1" si="148">_xlfn.NORM.INV(RAND(),$B$12,$C$12)</f>
        <v>0.50754183465503622</v>
      </c>
      <c r="H744" s="103">
        <f t="shared" ref="H744:H807" ca="1" si="149">_xlfn.NORM.INV(RAND(),$B$13,$C$13)</f>
        <v>0.19918947143344604</v>
      </c>
      <c r="I744" s="103" t="e">
        <f t="shared" ref="I744:I807" ca="1" si="150">G744*($E$16/24)+H744*(1-$E$16/24)</f>
        <v>#REF!</v>
      </c>
      <c r="J744" s="103" t="e">
        <f t="shared" ref="J744:J807" ca="1" si="151">G744*($E$17/24)+H744*(1-$E$17/24)</f>
        <v>#REF!</v>
      </c>
      <c r="K744" s="103" t="e">
        <f t="shared" ref="K744:K807" ca="1" si="152">G744*($E$18/24)+H744*(1-$E$18/24)</f>
        <v>#REF!</v>
      </c>
      <c r="L744" s="103" t="e">
        <f t="shared" ref="L744:L807" ca="1" si="153">G744*($E$19/24)+H744*(1-$E$19/24)</f>
        <v>#REF!</v>
      </c>
      <c r="M744" s="103" t="e">
        <f t="shared" ref="M744:M807" ca="1" si="154">G744*($E$20/24)+H744*(1-$E$20/24)</f>
        <v>#REF!</v>
      </c>
      <c r="N744" s="104" t="e">
        <f t="shared" ref="N744:N807" ca="1" si="155">B744*$B$16+C744*$B$17+D744*$B$18+E744*$B$19+F744*$B$20-($C$16*$D$16*I744+$C$17*$D$17*J744+$C$18*$D$18*K744+$C$19*$D$19*L744+$C$20*$D$20*M744)</f>
        <v>#REF!</v>
      </c>
    </row>
    <row r="745" spans="1:14">
      <c r="A745" s="95">
        <v>707</v>
      </c>
      <c r="B745" s="102" t="e">
        <f t="shared" ca="1" si="143"/>
        <v>#REF!</v>
      </c>
      <c r="C745" s="102" t="e">
        <f t="shared" ca="1" si="144"/>
        <v>#REF!</v>
      </c>
      <c r="D745" s="102" t="e">
        <f t="shared" ca="1" si="145"/>
        <v>#REF!</v>
      </c>
      <c r="E745" s="102" t="e">
        <f t="shared" ca="1" si="146"/>
        <v>#REF!</v>
      </c>
      <c r="F745" s="102" t="e">
        <f t="shared" ca="1" si="147"/>
        <v>#REF!</v>
      </c>
      <c r="G745" s="103">
        <f t="shared" ca="1" si="148"/>
        <v>0.44369248938035372</v>
      </c>
      <c r="H745" s="103">
        <f t="shared" ca="1" si="149"/>
        <v>0.19264242098949563</v>
      </c>
      <c r="I745" s="103" t="e">
        <f t="shared" ca="1" si="150"/>
        <v>#REF!</v>
      </c>
      <c r="J745" s="103" t="e">
        <f t="shared" ca="1" si="151"/>
        <v>#REF!</v>
      </c>
      <c r="K745" s="103" t="e">
        <f t="shared" ca="1" si="152"/>
        <v>#REF!</v>
      </c>
      <c r="L745" s="103" t="e">
        <f t="shared" ca="1" si="153"/>
        <v>#REF!</v>
      </c>
      <c r="M745" s="103" t="e">
        <f t="shared" ca="1" si="154"/>
        <v>#REF!</v>
      </c>
      <c r="N745" s="104" t="e">
        <f t="shared" ca="1" si="155"/>
        <v>#REF!</v>
      </c>
    </row>
    <row r="746" spans="1:14">
      <c r="A746" s="96">
        <v>708</v>
      </c>
      <c r="B746" s="102" t="e">
        <f t="shared" ca="1" si="143"/>
        <v>#REF!</v>
      </c>
      <c r="C746" s="102" t="e">
        <f t="shared" ca="1" si="144"/>
        <v>#REF!</v>
      </c>
      <c r="D746" s="102" t="e">
        <f t="shared" ca="1" si="145"/>
        <v>#REF!</v>
      </c>
      <c r="E746" s="102" t="e">
        <f t="shared" ca="1" si="146"/>
        <v>#REF!</v>
      </c>
      <c r="F746" s="102" t="e">
        <f t="shared" ca="1" si="147"/>
        <v>#REF!</v>
      </c>
      <c r="G746" s="103">
        <f t="shared" ca="1" si="148"/>
        <v>0.43287359084704208</v>
      </c>
      <c r="H746" s="103">
        <f t="shared" ca="1" si="149"/>
        <v>0.20412912198011091</v>
      </c>
      <c r="I746" s="103" t="e">
        <f t="shared" ca="1" si="150"/>
        <v>#REF!</v>
      </c>
      <c r="J746" s="103" t="e">
        <f t="shared" ca="1" si="151"/>
        <v>#REF!</v>
      </c>
      <c r="K746" s="103" t="e">
        <f t="shared" ca="1" si="152"/>
        <v>#REF!</v>
      </c>
      <c r="L746" s="103" t="e">
        <f t="shared" ca="1" si="153"/>
        <v>#REF!</v>
      </c>
      <c r="M746" s="103" t="e">
        <f t="shared" ca="1" si="154"/>
        <v>#REF!</v>
      </c>
      <c r="N746" s="104" t="e">
        <f t="shared" ca="1" si="155"/>
        <v>#REF!</v>
      </c>
    </row>
    <row r="747" spans="1:14">
      <c r="A747" s="95">
        <v>709</v>
      </c>
      <c r="B747" s="102" t="e">
        <f t="shared" ca="1" si="143"/>
        <v>#REF!</v>
      </c>
      <c r="C747" s="102" t="e">
        <f t="shared" ca="1" si="144"/>
        <v>#REF!</v>
      </c>
      <c r="D747" s="102" t="e">
        <f t="shared" ca="1" si="145"/>
        <v>#REF!</v>
      </c>
      <c r="E747" s="102" t="e">
        <f t="shared" ca="1" si="146"/>
        <v>#REF!</v>
      </c>
      <c r="F747" s="102" t="e">
        <f t="shared" ca="1" si="147"/>
        <v>#REF!</v>
      </c>
      <c r="G747" s="103">
        <f t="shared" ca="1" si="148"/>
        <v>0.42893402590255764</v>
      </c>
      <c r="H747" s="103">
        <f t="shared" ca="1" si="149"/>
        <v>0.18510561733916814</v>
      </c>
      <c r="I747" s="103" t="e">
        <f t="shared" ca="1" si="150"/>
        <v>#REF!</v>
      </c>
      <c r="J747" s="103" t="e">
        <f t="shared" ca="1" si="151"/>
        <v>#REF!</v>
      </c>
      <c r="K747" s="103" t="e">
        <f t="shared" ca="1" si="152"/>
        <v>#REF!</v>
      </c>
      <c r="L747" s="103" t="e">
        <f t="shared" ca="1" si="153"/>
        <v>#REF!</v>
      </c>
      <c r="M747" s="103" t="e">
        <f t="shared" ca="1" si="154"/>
        <v>#REF!</v>
      </c>
      <c r="N747" s="104" t="e">
        <f t="shared" ca="1" si="155"/>
        <v>#REF!</v>
      </c>
    </row>
    <row r="748" spans="1:14">
      <c r="A748" s="96">
        <v>710</v>
      </c>
      <c r="B748" s="102" t="e">
        <f t="shared" ca="1" si="143"/>
        <v>#REF!</v>
      </c>
      <c r="C748" s="102" t="e">
        <f t="shared" ca="1" si="144"/>
        <v>#REF!</v>
      </c>
      <c r="D748" s="102" t="e">
        <f t="shared" ca="1" si="145"/>
        <v>#REF!</v>
      </c>
      <c r="E748" s="102" t="e">
        <f t="shared" ca="1" si="146"/>
        <v>#REF!</v>
      </c>
      <c r="F748" s="102" t="e">
        <f t="shared" ca="1" si="147"/>
        <v>#REF!</v>
      </c>
      <c r="G748" s="103">
        <f t="shared" ca="1" si="148"/>
        <v>0.40999565885341477</v>
      </c>
      <c r="H748" s="103">
        <f t="shared" ca="1" si="149"/>
        <v>0.19965325031592135</v>
      </c>
      <c r="I748" s="103" t="e">
        <f t="shared" ca="1" si="150"/>
        <v>#REF!</v>
      </c>
      <c r="J748" s="103" t="e">
        <f t="shared" ca="1" si="151"/>
        <v>#REF!</v>
      </c>
      <c r="K748" s="103" t="e">
        <f t="shared" ca="1" si="152"/>
        <v>#REF!</v>
      </c>
      <c r="L748" s="103" t="e">
        <f t="shared" ca="1" si="153"/>
        <v>#REF!</v>
      </c>
      <c r="M748" s="103" t="e">
        <f t="shared" ca="1" si="154"/>
        <v>#REF!</v>
      </c>
      <c r="N748" s="104" t="e">
        <f t="shared" ca="1" si="155"/>
        <v>#REF!</v>
      </c>
    </row>
    <row r="749" spans="1:14">
      <c r="A749" s="95">
        <v>711</v>
      </c>
      <c r="B749" s="102" t="e">
        <f t="shared" ca="1" si="143"/>
        <v>#REF!</v>
      </c>
      <c r="C749" s="102" t="e">
        <f t="shared" ca="1" si="144"/>
        <v>#REF!</v>
      </c>
      <c r="D749" s="102" t="e">
        <f t="shared" ca="1" si="145"/>
        <v>#REF!</v>
      </c>
      <c r="E749" s="102" t="e">
        <f t="shared" ca="1" si="146"/>
        <v>#REF!</v>
      </c>
      <c r="F749" s="102" t="e">
        <f t="shared" ca="1" si="147"/>
        <v>#REF!</v>
      </c>
      <c r="G749" s="103">
        <f t="shared" ca="1" si="148"/>
        <v>0.43208400618271842</v>
      </c>
      <c r="H749" s="103">
        <f t="shared" ca="1" si="149"/>
        <v>0.19150898682775305</v>
      </c>
      <c r="I749" s="103" t="e">
        <f t="shared" ca="1" si="150"/>
        <v>#REF!</v>
      </c>
      <c r="J749" s="103" t="e">
        <f t="shared" ca="1" si="151"/>
        <v>#REF!</v>
      </c>
      <c r="K749" s="103" t="e">
        <f t="shared" ca="1" si="152"/>
        <v>#REF!</v>
      </c>
      <c r="L749" s="103" t="e">
        <f t="shared" ca="1" si="153"/>
        <v>#REF!</v>
      </c>
      <c r="M749" s="103" t="e">
        <f t="shared" ca="1" si="154"/>
        <v>#REF!</v>
      </c>
      <c r="N749" s="104" t="e">
        <f t="shared" ca="1" si="155"/>
        <v>#REF!</v>
      </c>
    </row>
    <row r="750" spans="1:14">
      <c r="A750" s="96">
        <v>712</v>
      </c>
      <c r="B750" s="102" t="e">
        <f t="shared" ca="1" si="143"/>
        <v>#REF!</v>
      </c>
      <c r="C750" s="102" t="e">
        <f t="shared" ca="1" si="144"/>
        <v>#REF!</v>
      </c>
      <c r="D750" s="102" t="e">
        <f t="shared" ca="1" si="145"/>
        <v>#REF!</v>
      </c>
      <c r="E750" s="102" t="e">
        <f t="shared" ca="1" si="146"/>
        <v>#REF!</v>
      </c>
      <c r="F750" s="102" t="e">
        <f t="shared" ca="1" si="147"/>
        <v>#REF!</v>
      </c>
      <c r="G750" s="103">
        <f t="shared" ca="1" si="148"/>
        <v>0.43427993152148253</v>
      </c>
      <c r="H750" s="103">
        <f t="shared" ca="1" si="149"/>
        <v>0.20443352823383121</v>
      </c>
      <c r="I750" s="103" t="e">
        <f t="shared" ca="1" si="150"/>
        <v>#REF!</v>
      </c>
      <c r="J750" s="103" t="e">
        <f t="shared" ca="1" si="151"/>
        <v>#REF!</v>
      </c>
      <c r="K750" s="103" t="e">
        <f t="shared" ca="1" si="152"/>
        <v>#REF!</v>
      </c>
      <c r="L750" s="103" t="e">
        <f t="shared" ca="1" si="153"/>
        <v>#REF!</v>
      </c>
      <c r="M750" s="103" t="e">
        <f t="shared" ca="1" si="154"/>
        <v>#REF!</v>
      </c>
      <c r="N750" s="104" t="e">
        <f t="shared" ca="1" si="155"/>
        <v>#REF!</v>
      </c>
    </row>
    <row r="751" spans="1:14">
      <c r="A751" s="95">
        <v>713</v>
      </c>
      <c r="B751" s="102" t="e">
        <f t="shared" ca="1" si="143"/>
        <v>#REF!</v>
      </c>
      <c r="C751" s="102" t="e">
        <f t="shared" ca="1" si="144"/>
        <v>#REF!</v>
      </c>
      <c r="D751" s="102" t="e">
        <f t="shared" ca="1" si="145"/>
        <v>#REF!</v>
      </c>
      <c r="E751" s="102" t="e">
        <f t="shared" ca="1" si="146"/>
        <v>#REF!</v>
      </c>
      <c r="F751" s="102" t="e">
        <f t="shared" ca="1" si="147"/>
        <v>#REF!</v>
      </c>
      <c r="G751" s="103">
        <f t="shared" ca="1" si="148"/>
        <v>0.40522343039711972</v>
      </c>
      <c r="H751" s="103">
        <f t="shared" ca="1" si="149"/>
        <v>0.19766405116550689</v>
      </c>
      <c r="I751" s="103" t="e">
        <f t="shared" ca="1" si="150"/>
        <v>#REF!</v>
      </c>
      <c r="J751" s="103" t="e">
        <f t="shared" ca="1" si="151"/>
        <v>#REF!</v>
      </c>
      <c r="K751" s="103" t="e">
        <f t="shared" ca="1" si="152"/>
        <v>#REF!</v>
      </c>
      <c r="L751" s="103" t="e">
        <f t="shared" ca="1" si="153"/>
        <v>#REF!</v>
      </c>
      <c r="M751" s="103" t="e">
        <f t="shared" ca="1" si="154"/>
        <v>#REF!</v>
      </c>
      <c r="N751" s="104" t="e">
        <f t="shared" ca="1" si="155"/>
        <v>#REF!</v>
      </c>
    </row>
    <row r="752" spans="1:14">
      <c r="A752" s="96">
        <v>714</v>
      </c>
      <c r="B752" s="102" t="e">
        <f t="shared" ca="1" si="143"/>
        <v>#REF!</v>
      </c>
      <c r="C752" s="102" t="e">
        <f t="shared" ca="1" si="144"/>
        <v>#REF!</v>
      </c>
      <c r="D752" s="102" t="e">
        <f t="shared" ca="1" si="145"/>
        <v>#REF!</v>
      </c>
      <c r="E752" s="102" t="e">
        <f t="shared" ca="1" si="146"/>
        <v>#REF!</v>
      </c>
      <c r="F752" s="102" t="e">
        <f t="shared" ca="1" si="147"/>
        <v>#REF!</v>
      </c>
      <c r="G752" s="103">
        <f t="shared" ca="1" si="148"/>
        <v>0.43868597611237464</v>
      </c>
      <c r="H752" s="103">
        <f t="shared" ca="1" si="149"/>
        <v>0.18836818163981947</v>
      </c>
      <c r="I752" s="103" t="e">
        <f t="shared" ca="1" si="150"/>
        <v>#REF!</v>
      </c>
      <c r="J752" s="103" t="e">
        <f t="shared" ca="1" si="151"/>
        <v>#REF!</v>
      </c>
      <c r="K752" s="103" t="e">
        <f t="shared" ca="1" si="152"/>
        <v>#REF!</v>
      </c>
      <c r="L752" s="103" t="e">
        <f t="shared" ca="1" si="153"/>
        <v>#REF!</v>
      </c>
      <c r="M752" s="103" t="e">
        <f t="shared" ca="1" si="154"/>
        <v>#REF!</v>
      </c>
      <c r="N752" s="104" t="e">
        <f t="shared" ca="1" si="155"/>
        <v>#REF!</v>
      </c>
    </row>
    <row r="753" spans="1:14">
      <c r="A753" s="95">
        <v>715</v>
      </c>
      <c r="B753" s="102" t="e">
        <f t="shared" ca="1" si="143"/>
        <v>#REF!</v>
      </c>
      <c r="C753" s="102" t="e">
        <f t="shared" ca="1" si="144"/>
        <v>#REF!</v>
      </c>
      <c r="D753" s="102" t="e">
        <f t="shared" ca="1" si="145"/>
        <v>#REF!</v>
      </c>
      <c r="E753" s="102" t="e">
        <f t="shared" ca="1" si="146"/>
        <v>#REF!</v>
      </c>
      <c r="F753" s="102" t="e">
        <f t="shared" ca="1" si="147"/>
        <v>#REF!</v>
      </c>
      <c r="G753" s="103">
        <f t="shared" ca="1" si="148"/>
        <v>0.45206401086317421</v>
      </c>
      <c r="H753" s="103">
        <f t="shared" ca="1" si="149"/>
        <v>0.2101503571200693</v>
      </c>
      <c r="I753" s="103" t="e">
        <f t="shared" ca="1" si="150"/>
        <v>#REF!</v>
      </c>
      <c r="J753" s="103" t="e">
        <f t="shared" ca="1" si="151"/>
        <v>#REF!</v>
      </c>
      <c r="K753" s="103" t="e">
        <f t="shared" ca="1" si="152"/>
        <v>#REF!</v>
      </c>
      <c r="L753" s="103" t="e">
        <f t="shared" ca="1" si="153"/>
        <v>#REF!</v>
      </c>
      <c r="M753" s="103" t="e">
        <f t="shared" ca="1" si="154"/>
        <v>#REF!</v>
      </c>
      <c r="N753" s="104" t="e">
        <f t="shared" ca="1" si="155"/>
        <v>#REF!</v>
      </c>
    </row>
    <row r="754" spans="1:14">
      <c r="A754" s="96">
        <v>716</v>
      </c>
      <c r="B754" s="102" t="e">
        <f t="shared" ca="1" si="143"/>
        <v>#REF!</v>
      </c>
      <c r="C754" s="102" t="e">
        <f t="shared" ca="1" si="144"/>
        <v>#REF!</v>
      </c>
      <c r="D754" s="102" t="e">
        <f t="shared" ca="1" si="145"/>
        <v>#REF!</v>
      </c>
      <c r="E754" s="102" t="e">
        <f t="shared" ca="1" si="146"/>
        <v>#REF!</v>
      </c>
      <c r="F754" s="102" t="e">
        <f t="shared" ca="1" si="147"/>
        <v>#REF!</v>
      </c>
      <c r="G754" s="103">
        <f t="shared" ca="1" si="148"/>
        <v>0.42436346990891105</v>
      </c>
      <c r="H754" s="103">
        <f t="shared" ca="1" si="149"/>
        <v>0.18270272420329542</v>
      </c>
      <c r="I754" s="103" t="e">
        <f t="shared" ca="1" si="150"/>
        <v>#REF!</v>
      </c>
      <c r="J754" s="103" t="e">
        <f t="shared" ca="1" si="151"/>
        <v>#REF!</v>
      </c>
      <c r="K754" s="103" t="e">
        <f t="shared" ca="1" si="152"/>
        <v>#REF!</v>
      </c>
      <c r="L754" s="103" t="e">
        <f t="shared" ca="1" si="153"/>
        <v>#REF!</v>
      </c>
      <c r="M754" s="103" t="e">
        <f t="shared" ca="1" si="154"/>
        <v>#REF!</v>
      </c>
      <c r="N754" s="104" t="e">
        <f t="shared" ca="1" si="155"/>
        <v>#REF!</v>
      </c>
    </row>
    <row r="755" spans="1:14">
      <c r="A755" s="95">
        <v>717</v>
      </c>
      <c r="B755" s="102" t="e">
        <f t="shared" ca="1" si="143"/>
        <v>#REF!</v>
      </c>
      <c r="C755" s="102" t="e">
        <f t="shared" ca="1" si="144"/>
        <v>#REF!</v>
      </c>
      <c r="D755" s="102" t="e">
        <f t="shared" ca="1" si="145"/>
        <v>#REF!</v>
      </c>
      <c r="E755" s="102" t="e">
        <f t="shared" ca="1" si="146"/>
        <v>#REF!</v>
      </c>
      <c r="F755" s="102" t="e">
        <f t="shared" ca="1" si="147"/>
        <v>#REF!</v>
      </c>
      <c r="G755" s="103">
        <f t="shared" ca="1" si="148"/>
        <v>0.43205144905420501</v>
      </c>
      <c r="H755" s="103">
        <f t="shared" ca="1" si="149"/>
        <v>0.2099604039497768</v>
      </c>
      <c r="I755" s="103" t="e">
        <f t="shared" ca="1" si="150"/>
        <v>#REF!</v>
      </c>
      <c r="J755" s="103" t="e">
        <f t="shared" ca="1" si="151"/>
        <v>#REF!</v>
      </c>
      <c r="K755" s="103" t="e">
        <f t="shared" ca="1" si="152"/>
        <v>#REF!</v>
      </c>
      <c r="L755" s="103" t="e">
        <f t="shared" ca="1" si="153"/>
        <v>#REF!</v>
      </c>
      <c r="M755" s="103" t="e">
        <f t="shared" ca="1" si="154"/>
        <v>#REF!</v>
      </c>
      <c r="N755" s="104" t="e">
        <f t="shared" ca="1" si="155"/>
        <v>#REF!</v>
      </c>
    </row>
    <row r="756" spans="1:14">
      <c r="A756" s="96">
        <v>718</v>
      </c>
      <c r="B756" s="102" t="e">
        <f t="shared" ca="1" si="143"/>
        <v>#REF!</v>
      </c>
      <c r="C756" s="102" t="e">
        <f t="shared" ca="1" si="144"/>
        <v>#REF!</v>
      </c>
      <c r="D756" s="102" t="e">
        <f t="shared" ca="1" si="145"/>
        <v>#REF!</v>
      </c>
      <c r="E756" s="102" t="e">
        <f t="shared" ca="1" si="146"/>
        <v>#REF!</v>
      </c>
      <c r="F756" s="102" t="e">
        <f t="shared" ca="1" si="147"/>
        <v>#REF!</v>
      </c>
      <c r="G756" s="103">
        <f t="shared" ca="1" si="148"/>
        <v>0.46042161706656426</v>
      </c>
      <c r="H756" s="103">
        <f t="shared" ca="1" si="149"/>
        <v>0.23518636846989288</v>
      </c>
      <c r="I756" s="103" t="e">
        <f t="shared" ca="1" si="150"/>
        <v>#REF!</v>
      </c>
      <c r="J756" s="103" t="e">
        <f t="shared" ca="1" si="151"/>
        <v>#REF!</v>
      </c>
      <c r="K756" s="103" t="e">
        <f t="shared" ca="1" si="152"/>
        <v>#REF!</v>
      </c>
      <c r="L756" s="103" t="e">
        <f t="shared" ca="1" si="153"/>
        <v>#REF!</v>
      </c>
      <c r="M756" s="103" t="e">
        <f t="shared" ca="1" si="154"/>
        <v>#REF!</v>
      </c>
      <c r="N756" s="104" t="e">
        <f t="shared" ca="1" si="155"/>
        <v>#REF!</v>
      </c>
    </row>
    <row r="757" spans="1:14">
      <c r="A757" s="95">
        <v>719</v>
      </c>
      <c r="B757" s="102" t="e">
        <f t="shared" ca="1" si="143"/>
        <v>#REF!</v>
      </c>
      <c r="C757" s="102" t="e">
        <f t="shared" ca="1" si="144"/>
        <v>#REF!</v>
      </c>
      <c r="D757" s="102" t="e">
        <f t="shared" ca="1" si="145"/>
        <v>#REF!</v>
      </c>
      <c r="E757" s="102" t="e">
        <f t="shared" ca="1" si="146"/>
        <v>#REF!</v>
      </c>
      <c r="F757" s="102" t="e">
        <f t="shared" ca="1" si="147"/>
        <v>#REF!</v>
      </c>
      <c r="G757" s="103">
        <f t="shared" ca="1" si="148"/>
        <v>0.41572183321577638</v>
      </c>
      <c r="H757" s="103">
        <f t="shared" ca="1" si="149"/>
        <v>0.20598452091487018</v>
      </c>
      <c r="I757" s="103" t="e">
        <f t="shared" ca="1" si="150"/>
        <v>#REF!</v>
      </c>
      <c r="J757" s="103" t="e">
        <f t="shared" ca="1" si="151"/>
        <v>#REF!</v>
      </c>
      <c r="K757" s="103" t="e">
        <f t="shared" ca="1" si="152"/>
        <v>#REF!</v>
      </c>
      <c r="L757" s="103" t="e">
        <f t="shared" ca="1" si="153"/>
        <v>#REF!</v>
      </c>
      <c r="M757" s="103" t="e">
        <f t="shared" ca="1" si="154"/>
        <v>#REF!</v>
      </c>
      <c r="N757" s="104" t="e">
        <f t="shared" ca="1" si="155"/>
        <v>#REF!</v>
      </c>
    </row>
    <row r="758" spans="1:14">
      <c r="A758" s="96">
        <v>720</v>
      </c>
      <c r="B758" s="102" t="e">
        <f t="shared" ca="1" si="143"/>
        <v>#REF!</v>
      </c>
      <c r="C758" s="102" t="e">
        <f t="shared" ca="1" si="144"/>
        <v>#REF!</v>
      </c>
      <c r="D758" s="102" t="e">
        <f t="shared" ca="1" si="145"/>
        <v>#REF!</v>
      </c>
      <c r="E758" s="102" t="e">
        <f t="shared" ca="1" si="146"/>
        <v>#REF!</v>
      </c>
      <c r="F758" s="102" t="e">
        <f t="shared" ca="1" si="147"/>
        <v>#REF!</v>
      </c>
      <c r="G758" s="103">
        <f t="shared" ca="1" si="148"/>
        <v>0.43434039802905705</v>
      </c>
      <c r="H758" s="103">
        <f t="shared" ca="1" si="149"/>
        <v>0.21866585138568834</v>
      </c>
      <c r="I758" s="103" t="e">
        <f t="shared" ca="1" si="150"/>
        <v>#REF!</v>
      </c>
      <c r="J758" s="103" t="e">
        <f t="shared" ca="1" si="151"/>
        <v>#REF!</v>
      </c>
      <c r="K758" s="103" t="e">
        <f t="shared" ca="1" si="152"/>
        <v>#REF!</v>
      </c>
      <c r="L758" s="103" t="e">
        <f t="shared" ca="1" si="153"/>
        <v>#REF!</v>
      </c>
      <c r="M758" s="103" t="e">
        <f t="shared" ca="1" si="154"/>
        <v>#REF!</v>
      </c>
      <c r="N758" s="104" t="e">
        <f t="shared" ca="1" si="155"/>
        <v>#REF!</v>
      </c>
    </row>
    <row r="759" spans="1:14">
      <c r="A759" s="95">
        <v>721</v>
      </c>
      <c r="B759" s="102" t="e">
        <f t="shared" ca="1" si="143"/>
        <v>#REF!</v>
      </c>
      <c r="C759" s="102" t="e">
        <f t="shared" ca="1" si="144"/>
        <v>#REF!</v>
      </c>
      <c r="D759" s="102" t="e">
        <f t="shared" ca="1" si="145"/>
        <v>#REF!</v>
      </c>
      <c r="E759" s="102" t="e">
        <f t="shared" ca="1" si="146"/>
        <v>#REF!</v>
      </c>
      <c r="F759" s="102" t="e">
        <f t="shared" ca="1" si="147"/>
        <v>#REF!</v>
      </c>
      <c r="G759" s="103">
        <f t="shared" ca="1" si="148"/>
        <v>0.44447793103658795</v>
      </c>
      <c r="H759" s="103">
        <f t="shared" ca="1" si="149"/>
        <v>0.2137051916888752</v>
      </c>
      <c r="I759" s="103" t="e">
        <f t="shared" ca="1" si="150"/>
        <v>#REF!</v>
      </c>
      <c r="J759" s="103" t="e">
        <f t="shared" ca="1" si="151"/>
        <v>#REF!</v>
      </c>
      <c r="K759" s="103" t="e">
        <f t="shared" ca="1" si="152"/>
        <v>#REF!</v>
      </c>
      <c r="L759" s="103" t="e">
        <f t="shared" ca="1" si="153"/>
        <v>#REF!</v>
      </c>
      <c r="M759" s="103" t="e">
        <f t="shared" ca="1" si="154"/>
        <v>#REF!</v>
      </c>
      <c r="N759" s="104" t="e">
        <f t="shared" ca="1" si="155"/>
        <v>#REF!</v>
      </c>
    </row>
    <row r="760" spans="1:14">
      <c r="A760" s="96">
        <v>722</v>
      </c>
      <c r="B760" s="102" t="e">
        <f t="shared" ca="1" si="143"/>
        <v>#REF!</v>
      </c>
      <c r="C760" s="102" t="e">
        <f t="shared" ca="1" si="144"/>
        <v>#REF!</v>
      </c>
      <c r="D760" s="102" t="e">
        <f t="shared" ca="1" si="145"/>
        <v>#REF!</v>
      </c>
      <c r="E760" s="102" t="e">
        <f t="shared" ca="1" si="146"/>
        <v>#REF!</v>
      </c>
      <c r="F760" s="102" t="e">
        <f t="shared" ca="1" si="147"/>
        <v>#REF!</v>
      </c>
      <c r="G760" s="103">
        <f t="shared" ca="1" si="148"/>
        <v>0.45657905999801851</v>
      </c>
      <c r="H760" s="103">
        <f t="shared" ca="1" si="149"/>
        <v>0.21070066026424755</v>
      </c>
      <c r="I760" s="103" t="e">
        <f t="shared" ca="1" si="150"/>
        <v>#REF!</v>
      </c>
      <c r="J760" s="103" t="e">
        <f t="shared" ca="1" si="151"/>
        <v>#REF!</v>
      </c>
      <c r="K760" s="103" t="e">
        <f t="shared" ca="1" si="152"/>
        <v>#REF!</v>
      </c>
      <c r="L760" s="103" t="e">
        <f t="shared" ca="1" si="153"/>
        <v>#REF!</v>
      </c>
      <c r="M760" s="103" t="e">
        <f t="shared" ca="1" si="154"/>
        <v>#REF!</v>
      </c>
      <c r="N760" s="104" t="e">
        <f t="shared" ca="1" si="155"/>
        <v>#REF!</v>
      </c>
    </row>
    <row r="761" spans="1:14">
      <c r="A761" s="95">
        <v>723</v>
      </c>
      <c r="B761" s="102" t="e">
        <f t="shared" ca="1" si="143"/>
        <v>#REF!</v>
      </c>
      <c r="C761" s="102" t="e">
        <f t="shared" ca="1" si="144"/>
        <v>#REF!</v>
      </c>
      <c r="D761" s="102" t="e">
        <f t="shared" ca="1" si="145"/>
        <v>#REF!</v>
      </c>
      <c r="E761" s="102" t="e">
        <f t="shared" ca="1" si="146"/>
        <v>#REF!</v>
      </c>
      <c r="F761" s="102" t="e">
        <f t="shared" ca="1" si="147"/>
        <v>#REF!</v>
      </c>
      <c r="G761" s="103">
        <f t="shared" ca="1" si="148"/>
        <v>0.4178455940615774</v>
      </c>
      <c r="H761" s="103">
        <f t="shared" ca="1" si="149"/>
        <v>0.19483380461671906</v>
      </c>
      <c r="I761" s="103" t="e">
        <f t="shared" ca="1" si="150"/>
        <v>#REF!</v>
      </c>
      <c r="J761" s="103" t="e">
        <f t="shared" ca="1" si="151"/>
        <v>#REF!</v>
      </c>
      <c r="K761" s="103" t="e">
        <f t="shared" ca="1" si="152"/>
        <v>#REF!</v>
      </c>
      <c r="L761" s="103" t="e">
        <f t="shared" ca="1" si="153"/>
        <v>#REF!</v>
      </c>
      <c r="M761" s="103" t="e">
        <f t="shared" ca="1" si="154"/>
        <v>#REF!</v>
      </c>
      <c r="N761" s="104" t="e">
        <f t="shared" ca="1" si="155"/>
        <v>#REF!</v>
      </c>
    </row>
    <row r="762" spans="1:14">
      <c r="A762" s="96">
        <v>724</v>
      </c>
      <c r="B762" s="102" t="e">
        <f t="shared" ca="1" si="143"/>
        <v>#REF!</v>
      </c>
      <c r="C762" s="102" t="e">
        <f t="shared" ca="1" si="144"/>
        <v>#REF!</v>
      </c>
      <c r="D762" s="102" t="e">
        <f t="shared" ca="1" si="145"/>
        <v>#REF!</v>
      </c>
      <c r="E762" s="102" t="e">
        <f t="shared" ca="1" si="146"/>
        <v>#REF!</v>
      </c>
      <c r="F762" s="102" t="e">
        <f t="shared" ca="1" si="147"/>
        <v>#REF!</v>
      </c>
      <c r="G762" s="103">
        <f t="shared" ca="1" si="148"/>
        <v>0.43072625759663891</v>
      </c>
      <c r="H762" s="103">
        <f t="shared" ca="1" si="149"/>
        <v>0.21326475286404831</v>
      </c>
      <c r="I762" s="103" t="e">
        <f t="shared" ca="1" si="150"/>
        <v>#REF!</v>
      </c>
      <c r="J762" s="103" t="e">
        <f t="shared" ca="1" si="151"/>
        <v>#REF!</v>
      </c>
      <c r="K762" s="103" t="e">
        <f t="shared" ca="1" si="152"/>
        <v>#REF!</v>
      </c>
      <c r="L762" s="103" t="e">
        <f t="shared" ca="1" si="153"/>
        <v>#REF!</v>
      </c>
      <c r="M762" s="103" t="e">
        <f t="shared" ca="1" si="154"/>
        <v>#REF!</v>
      </c>
      <c r="N762" s="104" t="e">
        <f t="shared" ca="1" si="155"/>
        <v>#REF!</v>
      </c>
    </row>
    <row r="763" spans="1:14">
      <c r="A763" s="95">
        <v>725</v>
      </c>
      <c r="B763" s="102" t="e">
        <f t="shared" ca="1" si="143"/>
        <v>#REF!</v>
      </c>
      <c r="C763" s="102" t="e">
        <f t="shared" ca="1" si="144"/>
        <v>#REF!</v>
      </c>
      <c r="D763" s="102" t="e">
        <f t="shared" ca="1" si="145"/>
        <v>#REF!</v>
      </c>
      <c r="E763" s="102" t="e">
        <f t="shared" ca="1" si="146"/>
        <v>#REF!</v>
      </c>
      <c r="F763" s="102" t="e">
        <f t="shared" ca="1" si="147"/>
        <v>#REF!</v>
      </c>
      <c r="G763" s="103">
        <f t="shared" ca="1" si="148"/>
        <v>0.45371000340096845</v>
      </c>
      <c r="H763" s="103">
        <f t="shared" ca="1" si="149"/>
        <v>0.20232621583827476</v>
      </c>
      <c r="I763" s="103" t="e">
        <f t="shared" ca="1" si="150"/>
        <v>#REF!</v>
      </c>
      <c r="J763" s="103" t="e">
        <f t="shared" ca="1" si="151"/>
        <v>#REF!</v>
      </c>
      <c r="K763" s="103" t="e">
        <f t="shared" ca="1" si="152"/>
        <v>#REF!</v>
      </c>
      <c r="L763" s="103" t="e">
        <f t="shared" ca="1" si="153"/>
        <v>#REF!</v>
      </c>
      <c r="M763" s="103" t="e">
        <f t="shared" ca="1" si="154"/>
        <v>#REF!</v>
      </c>
      <c r="N763" s="104" t="e">
        <f t="shared" ca="1" si="155"/>
        <v>#REF!</v>
      </c>
    </row>
    <row r="764" spans="1:14">
      <c r="A764" s="96">
        <v>726</v>
      </c>
      <c r="B764" s="102" t="e">
        <f t="shared" ca="1" si="143"/>
        <v>#REF!</v>
      </c>
      <c r="C764" s="102" t="e">
        <f t="shared" ca="1" si="144"/>
        <v>#REF!</v>
      </c>
      <c r="D764" s="102" t="e">
        <f t="shared" ca="1" si="145"/>
        <v>#REF!</v>
      </c>
      <c r="E764" s="102" t="e">
        <f t="shared" ca="1" si="146"/>
        <v>#REF!</v>
      </c>
      <c r="F764" s="102" t="e">
        <f t="shared" ca="1" si="147"/>
        <v>#REF!</v>
      </c>
      <c r="G764" s="103">
        <f t="shared" ca="1" si="148"/>
        <v>0.42044843365717716</v>
      </c>
      <c r="H764" s="103">
        <f t="shared" ca="1" si="149"/>
        <v>0.23100217869586825</v>
      </c>
      <c r="I764" s="103" t="e">
        <f t="shared" ca="1" si="150"/>
        <v>#REF!</v>
      </c>
      <c r="J764" s="103" t="e">
        <f t="shared" ca="1" si="151"/>
        <v>#REF!</v>
      </c>
      <c r="K764" s="103" t="e">
        <f t="shared" ca="1" si="152"/>
        <v>#REF!</v>
      </c>
      <c r="L764" s="103" t="e">
        <f t="shared" ca="1" si="153"/>
        <v>#REF!</v>
      </c>
      <c r="M764" s="103" t="e">
        <f t="shared" ca="1" si="154"/>
        <v>#REF!</v>
      </c>
      <c r="N764" s="104" t="e">
        <f t="shared" ca="1" si="155"/>
        <v>#REF!</v>
      </c>
    </row>
    <row r="765" spans="1:14">
      <c r="A765" s="95">
        <v>727</v>
      </c>
      <c r="B765" s="102" t="e">
        <f t="shared" ca="1" si="143"/>
        <v>#REF!</v>
      </c>
      <c r="C765" s="102" t="e">
        <f t="shared" ca="1" si="144"/>
        <v>#REF!</v>
      </c>
      <c r="D765" s="102" t="e">
        <f t="shared" ca="1" si="145"/>
        <v>#REF!</v>
      </c>
      <c r="E765" s="102" t="e">
        <f t="shared" ca="1" si="146"/>
        <v>#REF!</v>
      </c>
      <c r="F765" s="102" t="e">
        <f t="shared" ca="1" si="147"/>
        <v>#REF!</v>
      </c>
      <c r="G765" s="103">
        <f t="shared" ca="1" si="148"/>
        <v>0.40966447111878368</v>
      </c>
      <c r="H765" s="103">
        <f t="shared" ca="1" si="149"/>
        <v>0.20171574708228043</v>
      </c>
      <c r="I765" s="103" t="e">
        <f t="shared" ca="1" si="150"/>
        <v>#REF!</v>
      </c>
      <c r="J765" s="103" t="e">
        <f t="shared" ca="1" si="151"/>
        <v>#REF!</v>
      </c>
      <c r="K765" s="103" t="e">
        <f t="shared" ca="1" si="152"/>
        <v>#REF!</v>
      </c>
      <c r="L765" s="103" t="e">
        <f t="shared" ca="1" si="153"/>
        <v>#REF!</v>
      </c>
      <c r="M765" s="103" t="e">
        <f t="shared" ca="1" si="154"/>
        <v>#REF!</v>
      </c>
      <c r="N765" s="104" t="e">
        <f t="shared" ca="1" si="155"/>
        <v>#REF!</v>
      </c>
    </row>
    <row r="766" spans="1:14">
      <c r="A766" s="96">
        <v>728</v>
      </c>
      <c r="B766" s="102" t="e">
        <f t="shared" ca="1" si="143"/>
        <v>#REF!</v>
      </c>
      <c r="C766" s="102" t="e">
        <f t="shared" ca="1" si="144"/>
        <v>#REF!</v>
      </c>
      <c r="D766" s="102" t="e">
        <f t="shared" ca="1" si="145"/>
        <v>#REF!</v>
      </c>
      <c r="E766" s="102" t="e">
        <f t="shared" ca="1" si="146"/>
        <v>#REF!</v>
      </c>
      <c r="F766" s="102" t="e">
        <f t="shared" ca="1" si="147"/>
        <v>#REF!</v>
      </c>
      <c r="G766" s="103">
        <f t="shared" ca="1" si="148"/>
        <v>0.45682508832732838</v>
      </c>
      <c r="H766" s="103">
        <f t="shared" ca="1" si="149"/>
        <v>0.20766764022428005</v>
      </c>
      <c r="I766" s="103" t="e">
        <f t="shared" ca="1" si="150"/>
        <v>#REF!</v>
      </c>
      <c r="J766" s="103" t="e">
        <f t="shared" ca="1" si="151"/>
        <v>#REF!</v>
      </c>
      <c r="K766" s="103" t="e">
        <f t="shared" ca="1" si="152"/>
        <v>#REF!</v>
      </c>
      <c r="L766" s="103" t="e">
        <f t="shared" ca="1" si="153"/>
        <v>#REF!</v>
      </c>
      <c r="M766" s="103" t="e">
        <f t="shared" ca="1" si="154"/>
        <v>#REF!</v>
      </c>
      <c r="N766" s="104" t="e">
        <f t="shared" ca="1" si="155"/>
        <v>#REF!</v>
      </c>
    </row>
    <row r="767" spans="1:14">
      <c r="A767" s="95">
        <v>729</v>
      </c>
      <c r="B767" s="102" t="e">
        <f t="shared" ca="1" si="143"/>
        <v>#REF!</v>
      </c>
      <c r="C767" s="102" t="e">
        <f t="shared" ca="1" si="144"/>
        <v>#REF!</v>
      </c>
      <c r="D767" s="102" t="e">
        <f t="shared" ca="1" si="145"/>
        <v>#REF!</v>
      </c>
      <c r="E767" s="102" t="e">
        <f t="shared" ca="1" si="146"/>
        <v>#REF!</v>
      </c>
      <c r="F767" s="102" t="e">
        <f t="shared" ca="1" si="147"/>
        <v>#REF!</v>
      </c>
      <c r="G767" s="103">
        <f t="shared" ca="1" si="148"/>
        <v>0.46034038324072946</v>
      </c>
      <c r="H767" s="103">
        <f t="shared" ca="1" si="149"/>
        <v>0.20671499117965525</v>
      </c>
      <c r="I767" s="103" t="e">
        <f t="shared" ca="1" si="150"/>
        <v>#REF!</v>
      </c>
      <c r="J767" s="103" t="e">
        <f t="shared" ca="1" si="151"/>
        <v>#REF!</v>
      </c>
      <c r="K767" s="103" t="e">
        <f t="shared" ca="1" si="152"/>
        <v>#REF!</v>
      </c>
      <c r="L767" s="103" t="e">
        <f t="shared" ca="1" si="153"/>
        <v>#REF!</v>
      </c>
      <c r="M767" s="103" t="e">
        <f t="shared" ca="1" si="154"/>
        <v>#REF!</v>
      </c>
      <c r="N767" s="104" t="e">
        <f t="shared" ca="1" si="155"/>
        <v>#REF!</v>
      </c>
    </row>
    <row r="768" spans="1:14">
      <c r="A768" s="96">
        <v>730</v>
      </c>
      <c r="B768" s="102" t="e">
        <f t="shared" ca="1" si="143"/>
        <v>#REF!</v>
      </c>
      <c r="C768" s="102" t="e">
        <f t="shared" ca="1" si="144"/>
        <v>#REF!</v>
      </c>
      <c r="D768" s="102" t="e">
        <f t="shared" ca="1" si="145"/>
        <v>#REF!</v>
      </c>
      <c r="E768" s="102" t="e">
        <f t="shared" ca="1" si="146"/>
        <v>#REF!</v>
      </c>
      <c r="F768" s="102" t="e">
        <f t="shared" ca="1" si="147"/>
        <v>#REF!</v>
      </c>
      <c r="G768" s="103">
        <f t="shared" ca="1" si="148"/>
        <v>0.48446328383408793</v>
      </c>
      <c r="H768" s="103">
        <f t="shared" ca="1" si="149"/>
        <v>0.18785474070982239</v>
      </c>
      <c r="I768" s="103" t="e">
        <f t="shared" ca="1" si="150"/>
        <v>#REF!</v>
      </c>
      <c r="J768" s="103" t="e">
        <f t="shared" ca="1" si="151"/>
        <v>#REF!</v>
      </c>
      <c r="K768" s="103" t="e">
        <f t="shared" ca="1" si="152"/>
        <v>#REF!</v>
      </c>
      <c r="L768" s="103" t="e">
        <f t="shared" ca="1" si="153"/>
        <v>#REF!</v>
      </c>
      <c r="M768" s="103" t="e">
        <f t="shared" ca="1" si="154"/>
        <v>#REF!</v>
      </c>
      <c r="N768" s="104" t="e">
        <f t="shared" ca="1" si="155"/>
        <v>#REF!</v>
      </c>
    </row>
    <row r="769" spans="1:14">
      <c r="A769" s="95">
        <v>731</v>
      </c>
      <c r="B769" s="102" t="e">
        <f t="shared" ca="1" si="143"/>
        <v>#REF!</v>
      </c>
      <c r="C769" s="102" t="e">
        <f t="shared" ca="1" si="144"/>
        <v>#REF!</v>
      </c>
      <c r="D769" s="102" t="e">
        <f t="shared" ca="1" si="145"/>
        <v>#REF!</v>
      </c>
      <c r="E769" s="102" t="e">
        <f t="shared" ca="1" si="146"/>
        <v>#REF!</v>
      </c>
      <c r="F769" s="102" t="e">
        <f t="shared" ca="1" si="147"/>
        <v>#REF!</v>
      </c>
      <c r="G769" s="103">
        <f t="shared" ca="1" si="148"/>
        <v>0.45005144799096602</v>
      </c>
      <c r="H769" s="103">
        <f t="shared" ca="1" si="149"/>
        <v>0.2019067012763954</v>
      </c>
      <c r="I769" s="103" t="e">
        <f t="shared" ca="1" si="150"/>
        <v>#REF!</v>
      </c>
      <c r="J769" s="103" t="e">
        <f t="shared" ca="1" si="151"/>
        <v>#REF!</v>
      </c>
      <c r="K769" s="103" t="e">
        <f t="shared" ca="1" si="152"/>
        <v>#REF!</v>
      </c>
      <c r="L769" s="103" t="e">
        <f t="shared" ca="1" si="153"/>
        <v>#REF!</v>
      </c>
      <c r="M769" s="103" t="e">
        <f t="shared" ca="1" si="154"/>
        <v>#REF!</v>
      </c>
      <c r="N769" s="104" t="e">
        <f t="shared" ca="1" si="155"/>
        <v>#REF!</v>
      </c>
    </row>
    <row r="770" spans="1:14">
      <c r="A770" s="96">
        <v>732</v>
      </c>
      <c r="B770" s="102" t="e">
        <f t="shared" ca="1" si="143"/>
        <v>#REF!</v>
      </c>
      <c r="C770" s="102" t="e">
        <f t="shared" ca="1" si="144"/>
        <v>#REF!</v>
      </c>
      <c r="D770" s="102" t="e">
        <f t="shared" ca="1" si="145"/>
        <v>#REF!</v>
      </c>
      <c r="E770" s="102" t="e">
        <f t="shared" ca="1" si="146"/>
        <v>#REF!</v>
      </c>
      <c r="F770" s="102" t="e">
        <f t="shared" ca="1" si="147"/>
        <v>#REF!</v>
      </c>
      <c r="G770" s="103">
        <f t="shared" ca="1" si="148"/>
        <v>0.43328714838950688</v>
      </c>
      <c r="H770" s="103">
        <f t="shared" ca="1" si="149"/>
        <v>0.19952071391383047</v>
      </c>
      <c r="I770" s="103" t="e">
        <f t="shared" ca="1" si="150"/>
        <v>#REF!</v>
      </c>
      <c r="J770" s="103" t="e">
        <f t="shared" ca="1" si="151"/>
        <v>#REF!</v>
      </c>
      <c r="K770" s="103" t="e">
        <f t="shared" ca="1" si="152"/>
        <v>#REF!</v>
      </c>
      <c r="L770" s="103" t="e">
        <f t="shared" ca="1" si="153"/>
        <v>#REF!</v>
      </c>
      <c r="M770" s="103" t="e">
        <f t="shared" ca="1" si="154"/>
        <v>#REF!</v>
      </c>
      <c r="N770" s="104" t="e">
        <f t="shared" ca="1" si="155"/>
        <v>#REF!</v>
      </c>
    </row>
    <row r="771" spans="1:14">
      <c r="A771" s="95">
        <v>733</v>
      </c>
      <c r="B771" s="102" t="e">
        <f t="shared" ca="1" si="143"/>
        <v>#REF!</v>
      </c>
      <c r="C771" s="102" t="e">
        <f t="shared" ca="1" si="144"/>
        <v>#REF!</v>
      </c>
      <c r="D771" s="102" t="e">
        <f t="shared" ca="1" si="145"/>
        <v>#REF!</v>
      </c>
      <c r="E771" s="102" t="e">
        <f t="shared" ca="1" si="146"/>
        <v>#REF!</v>
      </c>
      <c r="F771" s="102" t="e">
        <f t="shared" ca="1" si="147"/>
        <v>#REF!</v>
      </c>
      <c r="G771" s="103">
        <f t="shared" ca="1" si="148"/>
        <v>0.4237676557761515</v>
      </c>
      <c r="H771" s="103">
        <f t="shared" ca="1" si="149"/>
        <v>0.17439303577672971</v>
      </c>
      <c r="I771" s="103" t="e">
        <f t="shared" ca="1" si="150"/>
        <v>#REF!</v>
      </c>
      <c r="J771" s="103" t="e">
        <f t="shared" ca="1" si="151"/>
        <v>#REF!</v>
      </c>
      <c r="K771" s="103" t="e">
        <f t="shared" ca="1" si="152"/>
        <v>#REF!</v>
      </c>
      <c r="L771" s="103" t="e">
        <f t="shared" ca="1" si="153"/>
        <v>#REF!</v>
      </c>
      <c r="M771" s="103" t="e">
        <f t="shared" ca="1" si="154"/>
        <v>#REF!</v>
      </c>
      <c r="N771" s="104" t="e">
        <f t="shared" ca="1" si="155"/>
        <v>#REF!</v>
      </c>
    </row>
    <row r="772" spans="1:14">
      <c r="A772" s="96">
        <v>734</v>
      </c>
      <c r="B772" s="102" t="e">
        <f t="shared" ca="1" si="143"/>
        <v>#REF!</v>
      </c>
      <c r="C772" s="102" t="e">
        <f t="shared" ca="1" si="144"/>
        <v>#REF!</v>
      </c>
      <c r="D772" s="102" t="e">
        <f t="shared" ca="1" si="145"/>
        <v>#REF!</v>
      </c>
      <c r="E772" s="102" t="e">
        <f t="shared" ca="1" si="146"/>
        <v>#REF!</v>
      </c>
      <c r="F772" s="102" t="e">
        <f t="shared" ca="1" si="147"/>
        <v>#REF!</v>
      </c>
      <c r="G772" s="103">
        <f t="shared" ca="1" si="148"/>
        <v>0.4789608007343607</v>
      </c>
      <c r="H772" s="103">
        <f t="shared" ca="1" si="149"/>
        <v>0.20644366574534559</v>
      </c>
      <c r="I772" s="103" t="e">
        <f t="shared" ca="1" si="150"/>
        <v>#REF!</v>
      </c>
      <c r="J772" s="103" t="e">
        <f t="shared" ca="1" si="151"/>
        <v>#REF!</v>
      </c>
      <c r="K772" s="103" t="e">
        <f t="shared" ca="1" si="152"/>
        <v>#REF!</v>
      </c>
      <c r="L772" s="103" t="e">
        <f t="shared" ca="1" si="153"/>
        <v>#REF!</v>
      </c>
      <c r="M772" s="103" t="e">
        <f t="shared" ca="1" si="154"/>
        <v>#REF!</v>
      </c>
      <c r="N772" s="104" t="e">
        <f t="shared" ca="1" si="155"/>
        <v>#REF!</v>
      </c>
    </row>
    <row r="773" spans="1:14">
      <c r="A773" s="95">
        <v>735</v>
      </c>
      <c r="B773" s="102" t="e">
        <f t="shared" ca="1" si="143"/>
        <v>#REF!</v>
      </c>
      <c r="C773" s="102" t="e">
        <f t="shared" ca="1" si="144"/>
        <v>#REF!</v>
      </c>
      <c r="D773" s="102" t="e">
        <f t="shared" ca="1" si="145"/>
        <v>#REF!</v>
      </c>
      <c r="E773" s="102" t="e">
        <f t="shared" ca="1" si="146"/>
        <v>#REF!</v>
      </c>
      <c r="F773" s="102" t="e">
        <f t="shared" ca="1" si="147"/>
        <v>#REF!</v>
      </c>
      <c r="G773" s="103">
        <f t="shared" ca="1" si="148"/>
        <v>0.42769888572579357</v>
      </c>
      <c r="H773" s="103">
        <f t="shared" ca="1" si="149"/>
        <v>0.19988112413461548</v>
      </c>
      <c r="I773" s="103" t="e">
        <f t="shared" ca="1" si="150"/>
        <v>#REF!</v>
      </c>
      <c r="J773" s="103" t="e">
        <f t="shared" ca="1" si="151"/>
        <v>#REF!</v>
      </c>
      <c r="K773" s="103" t="e">
        <f t="shared" ca="1" si="152"/>
        <v>#REF!</v>
      </c>
      <c r="L773" s="103" t="e">
        <f t="shared" ca="1" si="153"/>
        <v>#REF!</v>
      </c>
      <c r="M773" s="103" t="e">
        <f t="shared" ca="1" si="154"/>
        <v>#REF!</v>
      </c>
      <c r="N773" s="104" t="e">
        <f t="shared" ca="1" si="155"/>
        <v>#REF!</v>
      </c>
    </row>
    <row r="774" spans="1:14">
      <c r="A774" s="96">
        <v>736</v>
      </c>
      <c r="B774" s="102" t="e">
        <f t="shared" ca="1" si="143"/>
        <v>#REF!</v>
      </c>
      <c r="C774" s="102" t="e">
        <f t="shared" ca="1" si="144"/>
        <v>#REF!</v>
      </c>
      <c r="D774" s="102" t="e">
        <f t="shared" ca="1" si="145"/>
        <v>#REF!</v>
      </c>
      <c r="E774" s="102" t="e">
        <f t="shared" ca="1" si="146"/>
        <v>#REF!</v>
      </c>
      <c r="F774" s="102" t="e">
        <f t="shared" ca="1" si="147"/>
        <v>#REF!</v>
      </c>
      <c r="G774" s="103">
        <f t="shared" ca="1" si="148"/>
        <v>0.45002937631486617</v>
      </c>
      <c r="H774" s="103">
        <f t="shared" ca="1" si="149"/>
        <v>0.18423569432515538</v>
      </c>
      <c r="I774" s="103" t="e">
        <f t="shared" ca="1" si="150"/>
        <v>#REF!</v>
      </c>
      <c r="J774" s="103" t="e">
        <f t="shared" ca="1" si="151"/>
        <v>#REF!</v>
      </c>
      <c r="K774" s="103" t="e">
        <f t="shared" ca="1" si="152"/>
        <v>#REF!</v>
      </c>
      <c r="L774" s="103" t="e">
        <f t="shared" ca="1" si="153"/>
        <v>#REF!</v>
      </c>
      <c r="M774" s="103" t="e">
        <f t="shared" ca="1" si="154"/>
        <v>#REF!</v>
      </c>
      <c r="N774" s="104" t="e">
        <f t="shared" ca="1" si="155"/>
        <v>#REF!</v>
      </c>
    </row>
    <row r="775" spans="1:14">
      <c r="A775" s="95">
        <v>737</v>
      </c>
      <c r="B775" s="102" t="e">
        <f t="shared" ca="1" si="143"/>
        <v>#REF!</v>
      </c>
      <c r="C775" s="102" t="e">
        <f t="shared" ca="1" si="144"/>
        <v>#REF!</v>
      </c>
      <c r="D775" s="102" t="e">
        <f t="shared" ca="1" si="145"/>
        <v>#REF!</v>
      </c>
      <c r="E775" s="102" t="e">
        <f t="shared" ca="1" si="146"/>
        <v>#REF!</v>
      </c>
      <c r="F775" s="102" t="e">
        <f t="shared" ca="1" si="147"/>
        <v>#REF!</v>
      </c>
      <c r="G775" s="103">
        <f t="shared" ca="1" si="148"/>
        <v>0.46388022789875172</v>
      </c>
      <c r="H775" s="103">
        <f t="shared" ca="1" si="149"/>
        <v>0.19596951785533809</v>
      </c>
      <c r="I775" s="103" t="e">
        <f t="shared" ca="1" si="150"/>
        <v>#REF!</v>
      </c>
      <c r="J775" s="103" t="e">
        <f t="shared" ca="1" si="151"/>
        <v>#REF!</v>
      </c>
      <c r="K775" s="103" t="e">
        <f t="shared" ca="1" si="152"/>
        <v>#REF!</v>
      </c>
      <c r="L775" s="103" t="e">
        <f t="shared" ca="1" si="153"/>
        <v>#REF!</v>
      </c>
      <c r="M775" s="103" t="e">
        <f t="shared" ca="1" si="154"/>
        <v>#REF!</v>
      </c>
      <c r="N775" s="104" t="e">
        <f t="shared" ca="1" si="155"/>
        <v>#REF!</v>
      </c>
    </row>
    <row r="776" spans="1:14">
      <c r="A776" s="96">
        <v>738</v>
      </c>
      <c r="B776" s="102" t="e">
        <f t="shared" ca="1" si="143"/>
        <v>#REF!</v>
      </c>
      <c r="C776" s="102" t="e">
        <f t="shared" ca="1" si="144"/>
        <v>#REF!</v>
      </c>
      <c r="D776" s="102" t="e">
        <f t="shared" ca="1" si="145"/>
        <v>#REF!</v>
      </c>
      <c r="E776" s="102" t="e">
        <f t="shared" ca="1" si="146"/>
        <v>#REF!</v>
      </c>
      <c r="F776" s="102" t="e">
        <f t="shared" ca="1" si="147"/>
        <v>#REF!</v>
      </c>
      <c r="G776" s="103">
        <f t="shared" ca="1" si="148"/>
        <v>0.42954982801186165</v>
      </c>
      <c r="H776" s="103">
        <f t="shared" ca="1" si="149"/>
        <v>0.2030990854689208</v>
      </c>
      <c r="I776" s="103" t="e">
        <f t="shared" ca="1" si="150"/>
        <v>#REF!</v>
      </c>
      <c r="J776" s="103" t="e">
        <f t="shared" ca="1" si="151"/>
        <v>#REF!</v>
      </c>
      <c r="K776" s="103" t="e">
        <f t="shared" ca="1" si="152"/>
        <v>#REF!</v>
      </c>
      <c r="L776" s="103" t="e">
        <f t="shared" ca="1" si="153"/>
        <v>#REF!</v>
      </c>
      <c r="M776" s="103" t="e">
        <f t="shared" ca="1" si="154"/>
        <v>#REF!</v>
      </c>
      <c r="N776" s="104" t="e">
        <f t="shared" ca="1" si="155"/>
        <v>#REF!</v>
      </c>
    </row>
    <row r="777" spans="1:14">
      <c r="A777" s="95">
        <v>739</v>
      </c>
      <c r="B777" s="102" t="e">
        <f t="shared" ca="1" si="143"/>
        <v>#REF!</v>
      </c>
      <c r="C777" s="102" t="e">
        <f t="shared" ca="1" si="144"/>
        <v>#REF!</v>
      </c>
      <c r="D777" s="102" t="e">
        <f t="shared" ca="1" si="145"/>
        <v>#REF!</v>
      </c>
      <c r="E777" s="102" t="e">
        <f t="shared" ca="1" si="146"/>
        <v>#REF!</v>
      </c>
      <c r="F777" s="102" t="e">
        <f t="shared" ca="1" si="147"/>
        <v>#REF!</v>
      </c>
      <c r="G777" s="103">
        <f t="shared" ca="1" si="148"/>
        <v>0.44612807920702319</v>
      </c>
      <c r="H777" s="103">
        <f t="shared" ca="1" si="149"/>
        <v>0.19606551050970317</v>
      </c>
      <c r="I777" s="103" t="e">
        <f t="shared" ca="1" si="150"/>
        <v>#REF!</v>
      </c>
      <c r="J777" s="103" t="e">
        <f t="shared" ca="1" si="151"/>
        <v>#REF!</v>
      </c>
      <c r="K777" s="103" t="e">
        <f t="shared" ca="1" si="152"/>
        <v>#REF!</v>
      </c>
      <c r="L777" s="103" t="e">
        <f t="shared" ca="1" si="153"/>
        <v>#REF!</v>
      </c>
      <c r="M777" s="103" t="e">
        <f t="shared" ca="1" si="154"/>
        <v>#REF!</v>
      </c>
      <c r="N777" s="104" t="e">
        <f t="shared" ca="1" si="155"/>
        <v>#REF!</v>
      </c>
    </row>
    <row r="778" spans="1:14">
      <c r="A778" s="96">
        <v>740</v>
      </c>
      <c r="B778" s="102" t="e">
        <f t="shared" ca="1" si="143"/>
        <v>#REF!</v>
      </c>
      <c r="C778" s="102" t="e">
        <f t="shared" ca="1" si="144"/>
        <v>#REF!</v>
      </c>
      <c r="D778" s="102" t="e">
        <f t="shared" ca="1" si="145"/>
        <v>#REF!</v>
      </c>
      <c r="E778" s="102" t="e">
        <f t="shared" ca="1" si="146"/>
        <v>#REF!</v>
      </c>
      <c r="F778" s="102" t="e">
        <f t="shared" ca="1" si="147"/>
        <v>#REF!</v>
      </c>
      <c r="G778" s="103">
        <f t="shared" ca="1" si="148"/>
        <v>0.46168882348113988</v>
      </c>
      <c r="H778" s="103">
        <f t="shared" ca="1" si="149"/>
        <v>0.18410965404938934</v>
      </c>
      <c r="I778" s="103" t="e">
        <f t="shared" ca="1" si="150"/>
        <v>#REF!</v>
      </c>
      <c r="J778" s="103" t="e">
        <f t="shared" ca="1" si="151"/>
        <v>#REF!</v>
      </c>
      <c r="K778" s="103" t="e">
        <f t="shared" ca="1" si="152"/>
        <v>#REF!</v>
      </c>
      <c r="L778" s="103" t="e">
        <f t="shared" ca="1" si="153"/>
        <v>#REF!</v>
      </c>
      <c r="M778" s="103" t="e">
        <f t="shared" ca="1" si="154"/>
        <v>#REF!</v>
      </c>
      <c r="N778" s="104" t="e">
        <f t="shared" ca="1" si="155"/>
        <v>#REF!</v>
      </c>
    </row>
    <row r="779" spans="1:14">
      <c r="A779" s="95">
        <v>741</v>
      </c>
      <c r="B779" s="102" t="e">
        <f t="shared" ca="1" si="143"/>
        <v>#REF!</v>
      </c>
      <c r="C779" s="102" t="e">
        <f t="shared" ca="1" si="144"/>
        <v>#REF!</v>
      </c>
      <c r="D779" s="102" t="e">
        <f t="shared" ca="1" si="145"/>
        <v>#REF!</v>
      </c>
      <c r="E779" s="102" t="e">
        <f t="shared" ca="1" si="146"/>
        <v>#REF!</v>
      </c>
      <c r="F779" s="102" t="e">
        <f t="shared" ca="1" si="147"/>
        <v>#REF!</v>
      </c>
      <c r="G779" s="103">
        <f t="shared" ca="1" si="148"/>
        <v>0.47864470564747524</v>
      </c>
      <c r="H779" s="103">
        <f t="shared" ca="1" si="149"/>
        <v>0.18529288616741374</v>
      </c>
      <c r="I779" s="103" t="e">
        <f t="shared" ca="1" si="150"/>
        <v>#REF!</v>
      </c>
      <c r="J779" s="103" t="e">
        <f t="shared" ca="1" si="151"/>
        <v>#REF!</v>
      </c>
      <c r="K779" s="103" t="e">
        <f t="shared" ca="1" si="152"/>
        <v>#REF!</v>
      </c>
      <c r="L779" s="103" t="e">
        <f t="shared" ca="1" si="153"/>
        <v>#REF!</v>
      </c>
      <c r="M779" s="103" t="e">
        <f t="shared" ca="1" si="154"/>
        <v>#REF!</v>
      </c>
      <c r="N779" s="104" t="e">
        <f t="shared" ca="1" si="155"/>
        <v>#REF!</v>
      </c>
    </row>
    <row r="780" spans="1:14">
      <c r="A780" s="96">
        <v>742</v>
      </c>
      <c r="B780" s="102" t="e">
        <f t="shared" ca="1" si="143"/>
        <v>#REF!</v>
      </c>
      <c r="C780" s="102" t="e">
        <f t="shared" ca="1" si="144"/>
        <v>#REF!</v>
      </c>
      <c r="D780" s="102" t="e">
        <f t="shared" ca="1" si="145"/>
        <v>#REF!</v>
      </c>
      <c r="E780" s="102" t="e">
        <f t="shared" ca="1" si="146"/>
        <v>#REF!</v>
      </c>
      <c r="F780" s="102" t="e">
        <f t="shared" ca="1" si="147"/>
        <v>#REF!</v>
      </c>
      <c r="G780" s="103">
        <f t="shared" ca="1" si="148"/>
        <v>0.43620546991261955</v>
      </c>
      <c r="H780" s="103">
        <f t="shared" ca="1" si="149"/>
        <v>0.21660378277393522</v>
      </c>
      <c r="I780" s="103" t="e">
        <f t="shared" ca="1" si="150"/>
        <v>#REF!</v>
      </c>
      <c r="J780" s="103" t="e">
        <f t="shared" ca="1" si="151"/>
        <v>#REF!</v>
      </c>
      <c r="K780" s="103" t="e">
        <f t="shared" ca="1" si="152"/>
        <v>#REF!</v>
      </c>
      <c r="L780" s="103" t="e">
        <f t="shared" ca="1" si="153"/>
        <v>#REF!</v>
      </c>
      <c r="M780" s="103" t="e">
        <f t="shared" ca="1" si="154"/>
        <v>#REF!</v>
      </c>
      <c r="N780" s="104" t="e">
        <f t="shared" ca="1" si="155"/>
        <v>#REF!</v>
      </c>
    </row>
    <row r="781" spans="1:14">
      <c r="A781" s="95">
        <v>743</v>
      </c>
      <c r="B781" s="102" t="e">
        <f t="shared" ca="1" si="143"/>
        <v>#REF!</v>
      </c>
      <c r="C781" s="102" t="e">
        <f t="shared" ca="1" si="144"/>
        <v>#REF!</v>
      </c>
      <c r="D781" s="102" t="e">
        <f t="shared" ca="1" si="145"/>
        <v>#REF!</v>
      </c>
      <c r="E781" s="102" t="e">
        <f t="shared" ca="1" si="146"/>
        <v>#REF!</v>
      </c>
      <c r="F781" s="102" t="e">
        <f t="shared" ca="1" si="147"/>
        <v>#REF!</v>
      </c>
      <c r="G781" s="103">
        <f t="shared" ca="1" si="148"/>
        <v>0.44428854011052382</v>
      </c>
      <c r="H781" s="103">
        <f t="shared" ca="1" si="149"/>
        <v>0.23735216008252252</v>
      </c>
      <c r="I781" s="103" t="e">
        <f t="shared" ca="1" si="150"/>
        <v>#REF!</v>
      </c>
      <c r="J781" s="103" t="e">
        <f t="shared" ca="1" si="151"/>
        <v>#REF!</v>
      </c>
      <c r="K781" s="103" t="e">
        <f t="shared" ca="1" si="152"/>
        <v>#REF!</v>
      </c>
      <c r="L781" s="103" t="e">
        <f t="shared" ca="1" si="153"/>
        <v>#REF!</v>
      </c>
      <c r="M781" s="103" t="e">
        <f t="shared" ca="1" si="154"/>
        <v>#REF!</v>
      </c>
      <c r="N781" s="104" t="e">
        <f t="shared" ca="1" si="155"/>
        <v>#REF!</v>
      </c>
    </row>
    <row r="782" spans="1:14">
      <c r="A782" s="96">
        <v>744</v>
      </c>
      <c r="B782" s="102" t="e">
        <f t="shared" ca="1" si="143"/>
        <v>#REF!</v>
      </c>
      <c r="C782" s="102" t="e">
        <f t="shared" ca="1" si="144"/>
        <v>#REF!</v>
      </c>
      <c r="D782" s="102" t="e">
        <f t="shared" ca="1" si="145"/>
        <v>#REF!</v>
      </c>
      <c r="E782" s="102" t="e">
        <f t="shared" ca="1" si="146"/>
        <v>#REF!</v>
      </c>
      <c r="F782" s="102" t="e">
        <f t="shared" ca="1" si="147"/>
        <v>#REF!</v>
      </c>
      <c r="G782" s="103">
        <f t="shared" ca="1" si="148"/>
        <v>0.46949152564428726</v>
      </c>
      <c r="H782" s="103">
        <f t="shared" ca="1" si="149"/>
        <v>0.18284008929372356</v>
      </c>
      <c r="I782" s="103" t="e">
        <f t="shared" ca="1" si="150"/>
        <v>#REF!</v>
      </c>
      <c r="J782" s="103" t="e">
        <f t="shared" ca="1" si="151"/>
        <v>#REF!</v>
      </c>
      <c r="K782" s="103" t="e">
        <f t="shared" ca="1" si="152"/>
        <v>#REF!</v>
      </c>
      <c r="L782" s="103" t="e">
        <f t="shared" ca="1" si="153"/>
        <v>#REF!</v>
      </c>
      <c r="M782" s="103" t="e">
        <f t="shared" ca="1" si="154"/>
        <v>#REF!</v>
      </c>
      <c r="N782" s="104" t="e">
        <f t="shared" ca="1" si="155"/>
        <v>#REF!</v>
      </c>
    </row>
    <row r="783" spans="1:14">
      <c r="A783" s="95">
        <v>745</v>
      </c>
      <c r="B783" s="102" t="e">
        <f t="shared" ca="1" si="143"/>
        <v>#REF!</v>
      </c>
      <c r="C783" s="102" t="e">
        <f t="shared" ca="1" si="144"/>
        <v>#REF!</v>
      </c>
      <c r="D783" s="102" t="e">
        <f t="shared" ca="1" si="145"/>
        <v>#REF!</v>
      </c>
      <c r="E783" s="102" t="e">
        <f t="shared" ca="1" si="146"/>
        <v>#REF!</v>
      </c>
      <c r="F783" s="102" t="e">
        <f t="shared" ca="1" si="147"/>
        <v>#REF!</v>
      </c>
      <c r="G783" s="103">
        <f t="shared" ca="1" si="148"/>
        <v>0.37890851814723814</v>
      </c>
      <c r="H783" s="103">
        <f t="shared" ca="1" si="149"/>
        <v>0.22259399996928853</v>
      </c>
      <c r="I783" s="103" t="e">
        <f t="shared" ca="1" si="150"/>
        <v>#REF!</v>
      </c>
      <c r="J783" s="103" t="e">
        <f t="shared" ca="1" si="151"/>
        <v>#REF!</v>
      </c>
      <c r="K783" s="103" t="e">
        <f t="shared" ca="1" si="152"/>
        <v>#REF!</v>
      </c>
      <c r="L783" s="103" t="e">
        <f t="shared" ca="1" si="153"/>
        <v>#REF!</v>
      </c>
      <c r="M783" s="103" t="e">
        <f t="shared" ca="1" si="154"/>
        <v>#REF!</v>
      </c>
      <c r="N783" s="104" t="e">
        <f t="shared" ca="1" si="155"/>
        <v>#REF!</v>
      </c>
    </row>
    <row r="784" spans="1:14">
      <c r="A784" s="96">
        <v>746</v>
      </c>
      <c r="B784" s="102" t="e">
        <f t="shared" ca="1" si="143"/>
        <v>#REF!</v>
      </c>
      <c r="C784" s="102" t="e">
        <f t="shared" ca="1" si="144"/>
        <v>#REF!</v>
      </c>
      <c r="D784" s="102" t="e">
        <f t="shared" ca="1" si="145"/>
        <v>#REF!</v>
      </c>
      <c r="E784" s="102" t="e">
        <f t="shared" ca="1" si="146"/>
        <v>#REF!</v>
      </c>
      <c r="F784" s="102" t="e">
        <f t="shared" ca="1" si="147"/>
        <v>#REF!</v>
      </c>
      <c r="G784" s="103">
        <f t="shared" ca="1" si="148"/>
        <v>0.42854535800761923</v>
      </c>
      <c r="H784" s="103">
        <f t="shared" ca="1" si="149"/>
        <v>0.2001950707673992</v>
      </c>
      <c r="I784" s="103" t="e">
        <f t="shared" ca="1" si="150"/>
        <v>#REF!</v>
      </c>
      <c r="J784" s="103" t="e">
        <f t="shared" ca="1" si="151"/>
        <v>#REF!</v>
      </c>
      <c r="K784" s="103" t="e">
        <f t="shared" ca="1" si="152"/>
        <v>#REF!</v>
      </c>
      <c r="L784" s="103" t="e">
        <f t="shared" ca="1" si="153"/>
        <v>#REF!</v>
      </c>
      <c r="M784" s="103" t="e">
        <f t="shared" ca="1" si="154"/>
        <v>#REF!</v>
      </c>
      <c r="N784" s="104" t="e">
        <f t="shared" ca="1" si="155"/>
        <v>#REF!</v>
      </c>
    </row>
    <row r="785" spans="1:14">
      <c r="A785" s="95">
        <v>747</v>
      </c>
      <c r="B785" s="102" t="e">
        <f t="shared" ca="1" si="143"/>
        <v>#REF!</v>
      </c>
      <c r="C785" s="102" t="e">
        <f t="shared" ca="1" si="144"/>
        <v>#REF!</v>
      </c>
      <c r="D785" s="102" t="e">
        <f t="shared" ca="1" si="145"/>
        <v>#REF!</v>
      </c>
      <c r="E785" s="102" t="e">
        <f t="shared" ca="1" si="146"/>
        <v>#REF!</v>
      </c>
      <c r="F785" s="102" t="e">
        <f t="shared" ca="1" si="147"/>
        <v>#REF!</v>
      </c>
      <c r="G785" s="103">
        <f t="shared" ca="1" si="148"/>
        <v>0.48350748801463217</v>
      </c>
      <c r="H785" s="103">
        <f t="shared" ca="1" si="149"/>
        <v>0.19932660567748575</v>
      </c>
      <c r="I785" s="103" t="e">
        <f t="shared" ca="1" si="150"/>
        <v>#REF!</v>
      </c>
      <c r="J785" s="103" t="e">
        <f t="shared" ca="1" si="151"/>
        <v>#REF!</v>
      </c>
      <c r="K785" s="103" t="e">
        <f t="shared" ca="1" si="152"/>
        <v>#REF!</v>
      </c>
      <c r="L785" s="103" t="e">
        <f t="shared" ca="1" si="153"/>
        <v>#REF!</v>
      </c>
      <c r="M785" s="103" t="e">
        <f t="shared" ca="1" si="154"/>
        <v>#REF!</v>
      </c>
      <c r="N785" s="104" t="e">
        <f t="shared" ca="1" si="155"/>
        <v>#REF!</v>
      </c>
    </row>
    <row r="786" spans="1:14">
      <c r="A786" s="96">
        <v>748</v>
      </c>
      <c r="B786" s="102" t="e">
        <f t="shared" ca="1" si="143"/>
        <v>#REF!</v>
      </c>
      <c r="C786" s="102" t="e">
        <f t="shared" ca="1" si="144"/>
        <v>#REF!</v>
      </c>
      <c r="D786" s="102" t="e">
        <f t="shared" ca="1" si="145"/>
        <v>#REF!</v>
      </c>
      <c r="E786" s="102" t="e">
        <f t="shared" ca="1" si="146"/>
        <v>#REF!</v>
      </c>
      <c r="F786" s="102" t="e">
        <f t="shared" ca="1" si="147"/>
        <v>#REF!</v>
      </c>
      <c r="G786" s="103">
        <f t="shared" ca="1" si="148"/>
        <v>0.46385285235037788</v>
      </c>
      <c r="H786" s="103">
        <f t="shared" ca="1" si="149"/>
        <v>0.22129765859537204</v>
      </c>
      <c r="I786" s="103" t="e">
        <f t="shared" ca="1" si="150"/>
        <v>#REF!</v>
      </c>
      <c r="J786" s="103" t="e">
        <f t="shared" ca="1" si="151"/>
        <v>#REF!</v>
      </c>
      <c r="K786" s="103" t="e">
        <f t="shared" ca="1" si="152"/>
        <v>#REF!</v>
      </c>
      <c r="L786" s="103" t="e">
        <f t="shared" ca="1" si="153"/>
        <v>#REF!</v>
      </c>
      <c r="M786" s="103" t="e">
        <f t="shared" ca="1" si="154"/>
        <v>#REF!</v>
      </c>
      <c r="N786" s="104" t="e">
        <f t="shared" ca="1" si="155"/>
        <v>#REF!</v>
      </c>
    </row>
    <row r="787" spans="1:14">
      <c r="A787" s="95">
        <v>749</v>
      </c>
      <c r="B787" s="102" t="e">
        <f t="shared" ca="1" si="143"/>
        <v>#REF!</v>
      </c>
      <c r="C787" s="102" t="e">
        <f t="shared" ca="1" si="144"/>
        <v>#REF!</v>
      </c>
      <c r="D787" s="102" t="e">
        <f t="shared" ca="1" si="145"/>
        <v>#REF!</v>
      </c>
      <c r="E787" s="102" t="e">
        <f t="shared" ca="1" si="146"/>
        <v>#REF!</v>
      </c>
      <c r="F787" s="102" t="e">
        <f t="shared" ca="1" si="147"/>
        <v>#REF!</v>
      </c>
      <c r="G787" s="103">
        <f t="shared" ca="1" si="148"/>
        <v>0.45735252106532265</v>
      </c>
      <c r="H787" s="103">
        <f t="shared" ca="1" si="149"/>
        <v>0.19122267237384497</v>
      </c>
      <c r="I787" s="103" t="e">
        <f t="shared" ca="1" si="150"/>
        <v>#REF!</v>
      </c>
      <c r="J787" s="103" t="e">
        <f t="shared" ca="1" si="151"/>
        <v>#REF!</v>
      </c>
      <c r="K787" s="103" t="e">
        <f t="shared" ca="1" si="152"/>
        <v>#REF!</v>
      </c>
      <c r="L787" s="103" t="e">
        <f t="shared" ca="1" si="153"/>
        <v>#REF!</v>
      </c>
      <c r="M787" s="103" t="e">
        <f t="shared" ca="1" si="154"/>
        <v>#REF!</v>
      </c>
      <c r="N787" s="104" t="e">
        <f t="shared" ca="1" si="155"/>
        <v>#REF!</v>
      </c>
    </row>
    <row r="788" spans="1:14">
      <c r="A788" s="96">
        <v>750</v>
      </c>
      <c r="B788" s="102" t="e">
        <f t="shared" ca="1" si="143"/>
        <v>#REF!</v>
      </c>
      <c r="C788" s="102" t="e">
        <f t="shared" ca="1" si="144"/>
        <v>#REF!</v>
      </c>
      <c r="D788" s="102" t="e">
        <f t="shared" ca="1" si="145"/>
        <v>#REF!</v>
      </c>
      <c r="E788" s="102" t="e">
        <f t="shared" ca="1" si="146"/>
        <v>#REF!</v>
      </c>
      <c r="F788" s="102" t="e">
        <f t="shared" ca="1" si="147"/>
        <v>#REF!</v>
      </c>
      <c r="G788" s="103">
        <f t="shared" ca="1" si="148"/>
        <v>0.4418178750354404</v>
      </c>
      <c r="H788" s="103">
        <f t="shared" ca="1" si="149"/>
        <v>0.19977020350791097</v>
      </c>
      <c r="I788" s="103" t="e">
        <f t="shared" ca="1" si="150"/>
        <v>#REF!</v>
      </c>
      <c r="J788" s="103" t="e">
        <f t="shared" ca="1" si="151"/>
        <v>#REF!</v>
      </c>
      <c r="K788" s="103" t="e">
        <f t="shared" ca="1" si="152"/>
        <v>#REF!</v>
      </c>
      <c r="L788" s="103" t="e">
        <f t="shared" ca="1" si="153"/>
        <v>#REF!</v>
      </c>
      <c r="M788" s="103" t="e">
        <f t="shared" ca="1" si="154"/>
        <v>#REF!</v>
      </c>
      <c r="N788" s="104" t="e">
        <f t="shared" ca="1" si="155"/>
        <v>#REF!</v>
      </c>
    </row>
    <row r="789" spans="1:14">
      <c r="A789" s="95">
        <v>751</v>
      </c>
      <c r="B789" s="102" t="e">
        <f t="shared" ca="1" si="143"/>
        <v>#REF!</v>
      </c>
      <c r="C789" s="102" t="e">
        <f t="shared" ca="1" si="144"/>
        <v>#REF!</v>
      </c>
      <c r="D789" s="102" t="e">
        <f t="shared" ca="1" si="145"/>
        <v>#REF!</v>
      </c>
      <c r="E789" s="102" t="e">
        <f t="shared" ca="1" si="146"/>
        <v>#REF!</v>
      </c>
      <c r="F789" s="102" t="e">
        <f t="shared" ca="1" si="147"/>
        <v>#REF!</v>
      </c>
      <c r="G789" s="103">
        <f t="shared" ca="1" si="148"/>
        <v>0.40322567674986726</v>
      </c>
      <c r="H789" s="103">
        <f t="shared" ca="1" si="149"/>
        <v>0.20127217141843209</v>
      </c>
      <c r="I789" s="103" t="e">
        <f t="shared" ca="1" si="150"/>
        <v>#REF!</v>
      </c>
      <c r="J789" s="103" t="e">
        <f t="shared" ca="1" si="151"/>
        <v>#REF!</v>
      </c>
      <c r="K789" s="103" t="e">
        <f t="shared" ca="1" si="152"/>
        <v>#REF!</v>
      </c>
      <c r="L789" s="103" t="e">
        <f t="shared" ca="1" si="153"/>
        <v>#REF!</v>
      </c>
      <c r="M789" s="103" t="e">
        <f t="shared" ca="1" si="154"/>
        <v>#REF!</v>
      </c>
      <c r="N789" s="104" t="e">
        <f t="shared" ca="1" si="155"/>
        <v>#REF!</v>
      </c>
    </row>
    <row r="790" spans="1:14">
      <c r="A790" s="96">
        <v>752</v>
      </c>
      <c r="B790" s="102" t="e">
        <f t="shared" ca="1" si="143"/>
        <v>#REF!</v>
      </c>
      <c r="C790" s="102" t="e">
        <f t="shared" ca="1" si="144"/>
        <v>#REF!</v>
      </c>
      <c r="D790" s="102" t="e">
        <f t="shared" ca="1" si="145"/>
        <v>#REF!</v>
      </c>
      <c r="E790" s="102" t="e">
        <f t="shared" ca="1" si="146"/>
        <v>#REF!</v>
      </c>
      <c r="F790" s="102" t="e">
        <f t="shared" ca="1" si="147"/>
        <v>#REF!</v>
      </c>
      <c r="G790" s="103">
        <f t="shared" ca="1" si="148"/>
        <v>0.48690046673281634</v>
      </c>
      <c r="H790" s="103">
        <f t="shared" ca="1" si="149"/>
        <v>0.1935986401458111</v>
      </c>
      <c r="I790" s="103" t="e">
        <f t="shared" ca="1" si="150"/>
        <v>#REF!</v>
      </c>
      <c r="J790" s="103" t="e">
        <f t="shared" ca="1" si="151"/>
        <v>#REF!</v>
      </c>
      <c r="K790" s="103" t="e">
        <f t="shared" ca="1" si="152"/>
        <v>#REF!</v>
      </c>
      <c r="L790" s="103" t="e">
        <f t="shared" ca="1" si="153"/>
        <v>#REF!</v>
      </c>
      <c r="M790" s="103" t="e">
        <f t="shared" ca="1" si="154"/>
        <v>#REF!</v>
      </c>
      <c r="N790" s="104" t="e">
        <f t="shared" ca="1" si="155"/>
        <v>#REF!</v>
      </c>
    </row>
    <row r="791" spans="1:14">
      <c r="A791" s="95">
        <v>753</v>
      </c>
      <c r="B791" s="102" t="e">
        <f t="shared" ca="1" si="143"/>
        <v>#REF!</v>
      </c>
      <c r="C791" s="102" t="e">
        <f t="shared" ca="1" si="144"/>
        <v>#REF!</v>
      </c>
      <c r="D791" s="102" t="e">
        <f t="shared" ca="1" si="145"/>
        <v>#REF!</v>
      </c>
      <c r="E791" s="102" t="e">
        <f t="shared" ca="1" si="146"/>
        <v>#REF!</v>
      </c>
      <c r="F791" s="102" t="e">
        <f t="shared" ca="1" si="147"/>
        <v>#REF!</v>
      </c>
      <c r="G791" s="103">
        <f t="shared" ca="1" si="148"/>
        <v>0.36682779749876859</v>
      </c>
      <c r="H791" s="103">
        <f t="shared" ca="1" si="149"/>
        <v>0.22061920584897179</v>
      </c>
      <c r="I791" s="103" t="e">
        <f t="shared" ca="1" si="150"/>
        <v>#REF!</v>
      </c>
      <c r="J791" s="103" t="e">
        <f t="shared" ca="1" si="151"/>
        <v>#REF!</v>
      </c>
      <c r="K791" s="103" t="e">
        <f t="shared" ca="1" si="152"/>
        <v>#REF!</v>
      </c>
      <c r="L791" s="103" t="e">
        <f t="shared" ca="1" si="153"/>
        <v>#REF!</v>
      </c>
      <c r="M791" s="103" t="e">
        <f t="shared" ca="1" si="154"/>
        <v>#REF!</v>
      </c>
      <c r="N791" s="104" t="e">
        <f t="shared" ca="1" si="155"/>
        <v>#REF!</v>
      </c>
    </row>
    <row r="792" spans="1:14">
      <c r="A792" s="96">
        <v>754</v>
      </c>
      <c r="B792" s="102" t="e">
        <f t="shared" ca="1" si="143"/>
        <v>#REF!</v>
      </c>
      <c r="C792" s="102" t="e">
        <f t="shared" ca="1" si="144"/>
        <v>#REF!</v>
      </c>
      <c r="D792" s="102" t="e">
        <f t="shared" ca="1" si="145"/>
        <v>#REF!</v>
      </c>
      <c r="E792" s="102" t="e">
        <f t="shared" ca="1" si="146"/>
        <v>#REF!</v>
      </c>
      <c r="F792" s="102" t="e">
        <f t="shared" ca="1" si="147"/>
        <v>#REF!</v>
      </c>
      <c r="G792" s="103">
        <f t="shared" ca="1" si="148"/>
        <v>0.44149544343204256</v>
      </c>
      <c r="H792" s="103">
        <f t="shared" ca="1" si="149"/>
        <v>0.19601683610459264</v>
      </c>
      <c r="I792" s="103" t="e">
        <f t="shared" ca="1" si="150"/>
        <v>#REF!</v>
      </c>
      <c r="J792" s="103" t="e">
        <f t="shared" ca="1" si="151"/>
        <v>#REF!</v>
      </c>
      <c r="K792" s="103" t="e">
        <f t="shared" ca="1" si="152"/>
        <v>#REF!</v>
      </c>
      <c r="L792" s="103" t="e">
        <f t="shared" ca="1" si="153"/>
        <v>#REF!</v>
      </c>
      <c r="M792" s="103" t="e">
        <f t="shared" ca="1" si="154"/>
        <v>#REF!</v>
      </c>
      <c r="N792" s="104" t="e">
        <f t="shared" ca="1" si="155"/>
        <v>#REF!</v>
      </c>
    </row>
    <row r="793" spans="1:14">
      <c r="A793" s="95">
        <v>755</v>
      </c>
      <c r="B793" s="102" t="e">
        <f t="shared" ca="1" si="143"/>
        <v>#REF!</v>
      </c>
      <c r="C793" s="102" t="e">
        <f t="shared" ca="1" si="144"/>
        <v>#REF!</v>
      </c>
      <c r="D793" s="102" t="e">
        <f t="shared" ca="1" si="145"/>
        <v>#REF!</v>
      </c>
      <c r="E793" s="102" t="e">
        <f t="shared" ca="1" si="146"/>
        <v>#REF!</v>
      </c>
      <c r="F793" s="102" t="e">
        <f t="shared" ca="1" si="147"/>
        <v>#REF!</v>
      </c>
      <c r="G793" s="103">
        <f t="shared" ca="1" si="148"/>
        <v>0.40888272484330834</v>
      </c>
      <c r="H793" s="103">
        <f t="shared" ca="1" si="149"/>
        <v>0.19747995731356838</v>
      </c>
      <c r="I793" s="103" t="e">
        <f t="shared" ca="1" si="150"/>
        <v>#REF!</v>
      </c>
      <c r="J793" s="103" t="e">
        <f t="shared" ca="1" si="151"/>
        <v>#REF!</v>
      </c>
      <c r="K793" s="103" t="e">
        <f t="shared" ca="1" si="152"/>
        <v>#REF!</v>
      </c>
      <c r="L793" s="103" t="e">
        <f t="shared" ca="1" si="153"/>
        <v>#REF!</v>
      </c>
      <c r="M793" s="103" t="e">
        <f t="shared" ca="1" si="154"/>
        <v>#REF!</v>
      </c>
      <c r="N793" s="104" t="e">
        <f t="shared" ca="1" si="155"/>
        <v>#REF!</v>
      </c>
    </row>
    <row r="794" spans="1:14">
      <c r="A794" s="96">
        <v>756</v>
      </c>
      <c r="B794" s="102" t="e">
        <f t="shared" ca="1" si="143"/>
        <v>#REF!</v>
      </c>
      <c r="C794" s="102" t="e">
        <f t="shared" ca="1" si="144"/>
        <v>#REF!</v>
      </c>
      <c r="D794" s="102" t="e">
        <f t="shared" ca="1" si="145"/>
        <v>#REF!</v>
      </c>
      <c r="E794" s="102" t="e">
        <f t="shared" ca="1" si="146"/>
        <v>#REF!</v>
      </c>
      <c r="F794" s="102" t="e">
        <f t="shared" ca="1" si="147"/>
        <v>#REF!</v>
      </c>
      <c r="G794" s="103">
        <f t="shared" ca="1" si="148"/>
        <v>0.40795598583146547</v>
      </c>
      <c r="H794" s="103">
        <f t="shared" ca="1" si="149"/>
        <v>0.19534540964854263</v>
      </c>
      <c r="I794" s="103" t="e">
        <f t="shared" ca="1" si="150"/>
        <v>#REF!</v>
      </c>
      <c r="J794" s="103" t="e">
        <f t="shared" ca="1" si="151"/>
        <v>#REF!</v>
      </c>
      <c r="K794" s="103" t="e">
        <f t="shared" ca="1" si="152"/>
        <v>#REF!</v>
      </c>
      <c r="L794" s="103" t="e">
        <f t="shared" ca="1" si="153"/>
        <v>#REF!</v>
      </c>
      <c r="M794" s="103" t="e">
        <f t="shared" ca="1" si="154"/>
        <v>#REF!</v>
      </c>
      <c r="N794" s="104" t="e">
        <f t="shared" ca="1" si="155"/>
        <v>#REF!</v>
      </c>
    </row>
    <row r="795" spans="1:14">
      <c r="A795" s="95">
        <v>757</v>
      </c>
      <c r="B795" s="102" t="e">
        <f t="shared" ca="1" si="143"/>
        <v>#REF!</v>
      </c>
      <c r="C795" s="102" t="e">
        <f t="shared" ca="1" si="144"/>
        <v>#REF!</v>
      </c>
      <c r="D795" s="102" t="e">
        <f t="shared" ca="1" si="145"/>
        <v>#REF!</v>
      </c>
      <c r="E795" s="102" t="e">
        <f t="shared" ca="1" si="146"/>
        <v>#REF!</v>
      </c>
      <c r="F795" s="102" t="e">
        <f t="shared" ca="1" si="147"/>
        <v>#REF!</v>
      </c>
      <c r="G795" s="103">
        <f t="shared" ca="1" si="148"/>
        <v>0.41448999398560021</v>
      </c>
      <c r="H795" s="103">
        <f t="shared" ca="1" si="149"/>
        <v>0.19985381993046331</v>
      </c>
      <c r="I795" s="103" t="e">
        <f t="shared" ca="1" si="150"/>
        <v>#REF!</v>
      </c>
      <c r="J795" s="103" t="e">
        <f t="shared" ca="1" si="151"/>
        <v>#REF!</v>
      </c>
      <c r="K795" s="103" t="e">
        <f t="shared" ca="1" si="152"/>
        <v>#REF!</v>
      </c>
      <c r="L795" s="103" t="e">
        <f t="shared" ca="1" si="153"/>
        <v>#REF!</v>
      </c>
      <c r="M795" s="103" t="e">
        <f t="shared" ca="1" si="154"/>
        <v>#REF!</v>
      </c>
      <c r="N795" s="104" t="e">
        <f t="shared" ca="1" si="155"/>
        <v>#REF!</v>
      </c>
    </row>
    <row r="796" spans="1:14">
      <c r="A796" s="96">
        <v>758</v>
      </c>
      <c r="B796" s="102" t="e">
        <f t="shared" ca="1" si="143"/>
        <v>#REF!</v>
      </c>
      <c r="C796" s="102" t="e">
        <f t="shared" ca="1" si="144"/>
        <v>#REF!</v>
      </c>
      <c r="D796" s="102" t="e">
        <f t="shared" ca="1" si="145"/>
        <v>#REF!</v>
      </c>
      <c r="E796" s="102" t="e">
        <f t="shared" ca="1" si="146"/>
        <v>#REF!</v>
      </c>
      <c r="F796" s="102" t="e">
        <f t="shared" ca="1" si="147"/>
        <v>#REF!</v>
      </c>
      <c r="G796" s="103">
        <f t="shared" ca="1" si="148"/>
        <v>0.46174223571445105</v>
      </c>
      <c r="H796" s="103">
        <f t="shared" ca="1" si="149"/>
        <v>0.20805908163823833</v>
      </c>
      <c r="I796" s="103" t="e">
        <f t="shared" ca="1" si="150"/>
        <v>#REF!</v>
      </c>
      <c r="J796" s="103" t="e">
        <f t="shared" ca="1" si="151"/>
        <v>#REF!</v>
      </c>
      <c r="K796" s="103" t="e">
        <f t="shared" ca="1" si="152"/>
        <v>#REF!</v>
      </c>
      <c r="L796" s="103" t="e">
        <f t="shared" ca="1" si="153"/>
        <v>#REF!</v>
      </c>
      <c r="M796" s="103" t="e">
        <f t="shared" ca="1" si="154"/>
        <v>#REF!</v>
      </c>
      <c r="N796" s="104" t="e">
        <f t="shared" ca="1" si="155"/>
        <v>#REF!</v>
      </c>
    </row>
    <row r="797" spans="1:14">
      <c r="A797" s="95">
        <v>759</v>
      </c>
      <c r="B797" s="102" t="e">
        <f t="shared" ca="1" si="143"/>
        <v>#REF!</v>
      </c>
      <c r="C797" s="102" t="e">
        <f t="shared" ca="1" si="144"/>
        <v>#REF!</v>
      </c>
      <c r="D797" s="102" t="e">
        <f t="shared" ca="1" si="145"/>
        <v>#REF!</v>
      </c>
      <c r="E797" s="102" t="e">
        <f t="shared" ca="1" si="146"/>
        <v>#REF!</v>
      </c>
      <c r="F797" s="102" t="e">
        <f t="shared" ca="1" si="147"/>
        <v>#REF!</v>
      </c>
      <c r="G797" s="103">
        <f t="shared" ca="1" si="148"/>
        <v>0.46857655807134768</v>
      </c>
      <c r="H797" s="103">
        <f t="shared" ca="1" si="149"/>
        <v>0.21313254481890473</v>
      </c>
      <c r="I797" s="103" t="e">
        <f t="shared" ca="1" si="150"/>
        <v>#REF!</v>
      </c>
      <c r="J797" s="103" t="e">
        <f t="shared" ca="1" si="151"/>
        <v>#REF!</v>
      </c>
      <c r="K797" s="103" t="e">
        <f t="shared" ca="1" si="152"/>
        <v>#REF!</v>
      </c>
      <c r="L797" s="103" t="e">
        <f t="shared" ca="1" si="153"/>
        <v>#REF!</v>
      </c>
      <c r="M797" s="103" t="e">
        <f t="shared" ca="1" si="154"/>
        <v>#REF!</v>
      </c>
      <c r="N797" s="104" t="e">
        <f t="shared" ca="1" si="155"/>
        <v>#REF!</v>
      </c>
    </row>
    <row r="798" spans="1:14">
      <c r="A798" s="96">
        <v>760</v>
      </c>
      <c r="B798" s="102" t="e">
        <f t="shared" ca="1" si="143"/>
        <v>#REF!</v>
      </c>
      <c r="C798" s="102" t="e">
        <f t="shared" ca="1" si="144"/>
        <v>#REF!</v>
      </c>
      <c r="D798" s="102" t="e">
        <f t="shared" ca="1" si="145"/>
        <v>#REF!</v>
      </c>
      <c r="E798" s="102" t="e">
        <f t="shared" ca="1" si="146"/>
        <v>#REF!</v>
      </c>
      <c r="F798" s="102" t="e">
        <f t="shared" ca="1" si="147"/>
        <v>#REF!</v>
      </c>
      <c r="G798" s="103">
        <f t="shared" ca="1" si="148"/>
        <v>0.44615726240079784</v>
      </c>
      <c r="H798" s="103">
        <f t="shared" ca="1" si="149"/>
        <v>0.22002019491926089</v>
      </c>
      <c r="I798" s="103" t="e">
        <f t="shared" ca="1" si="150"/>
        <v>#REF!</v>
      </c>
      <c r="J798" s="103" t="e">
        <f t="shared" ca="1" si="151"/>
        <v>#REF!</v>
      </c>
      <c r="K798" s="103" t="e">
        <f t="shared" ca="1" si="152"/>
        <v>#REF!</v>
      </c>
      <c r="L798" s="103" t="e">
        <f t="shared" ca="1" si="153"/>
        <v>#REF!</v>
      </c>
      <c r="M798" s="103" t="e">
        <f t="shared" ca="1" si="154"/>
        <v>#REF!</v>
      </c>
      <c r="N798" s="104" t="e">
        <f t="shared" ca="1" si="155"/>
        <v>#REF!</v>
      </c>
    </row>
    <row r="799" spans="1:14">
      <c r="A799" s="95">
        <v>761</v>
      </c>
      <c r="B799" s="102" t="e">
        <f t="shared" ca="1" si="143"/>
        <v>#REF!</v>
      </c>
      <c r="C799" s="102" t="e">
        <f t="shared" ca="1" si="144"/>
        <v>#REF!</v>
      </c>
      <c r="D799" s="102" t="e">
        <f t="shared" ca="1" si="145"/>
        <v>#REF!</v>
      </c>
      <c r="E799" s="102" t="e">
        <f t="shared" ca="1" si="146"/>
        <v>#REF!</v>
      </c>
      <c r="F799" s="102" t="e">
        <f t="shared" ca="1" si="147"/>
        <v>#REF!</v>
      </c>
      <c r="G799" s="103">
        <f t="shared" ca="1" si="148"/>
        <v>0.44893276461850806</v>
      </c>
      <c r="H799" s="103">
        <f t="shared" ca="1" si="149"/>
        <v>0.20190987298739738</v>
      </c>
      <c r="I799" s="103" t="e">
        <f t="shared" ca="1" si="150"/>
        <v>#REF!</v>
      </c>
      <c r="J799" s="103" t="e">
        <f t="shared" ca="1" si="151"/>
        <v>#REF!</v>
      </c>
      <c r="K799" s="103" t="e">
        <f t="shared" ca="1" si="152"/>
        <v>#REF!</v>
      </c>
      <c r="L799" s="103" t="e">
        <f t="shared" ca="1" si="153"/>
        <v>#REF!</v>
      </c>
      <c r="M799" s="103" t="e">
        <f t="shared" ca="1" si="154"/>
        <v>#REF!</v>
      </c>
      <c r="N799" s="104" t="e">
        <f t="shared" ca="1" si="155"/>
        <v>#REF!</v>
      </c>
    </row>
    <row r="800" spans="1:14">
      <c r="A800" s="96">
        <v>762</v>
      </c>
      <c r="B800" s="102" t="e">
        <f t="shared" ca="1" si="143"/>
        <v>#REF!</v>
      </c>
      <c r="C800" s="102" t="e">
        <f t="shared" ca="1" si="144"/>
        <v>#REF!</v>
      </c>
      <c r="D800" s="102" t="e">
        <f t="shared" ca="1" si="145"/>
        <v>#REF!</v>
      </c>
      <c r="E800" s="102" t="e">
        <f t="shared" ca="1" si="146"/>
        <v>#REF!</v>
      </c>
      <c r="F800" s="102" t="e">
        <f t="shared" ca="1" si="147"/>
        <v>#REF!</v>
      </c>
      <c r="G800" s="103">
        <f t="shared" ca="1" si="148"/>
        <v>0.42068242099892916</v>
      </c>
      <c r="H800" s="103">
        <f t="shared" ca="1" si="149"/>
        <v>0.19733289943084939</v>
      </c>
      <c r="I800" s="103" t="e">
        <f t="shared" ca="1" si="150"/>
        <v>#REF!</v>
      </c>
      <c r="J800" s="103" t="e">
        <f t="shared" ca="1" si="151"/>
        <v>#REF!</v>
      </c>
      <c r="K800" s="103" t="e">
        <f t="shared" ca="1" si="152"/>
        <v>#REF!</v>
      </c>
      <c r="L800" s="103" t="e">
        <f t="shared" ca="1" si="153"/>
        <v>#REF!</v>
      </c>
      <c r="M800" s="103" t="e">
        <f t="shared" ca="1" si="154"/>
        <v>#REF!</v>
      </c>
      <c r="N800" s="104" t="e">
        <f t="shared" ca="1" si="155"/>
        <v>#REF!</v>
      </c>
    </row>
    <row r="801" spans="1:14">
      <c r="A801" s="95">
        <v>763</v>
      </c>
      <c r="B801" s="102" t="e">
        <f t="shared" ca="1" si="143"/>
        <v>#REF!</v>
      </c>
      <c r="C801" s="102" t="e">
        <f t="shared" ca="1" si="144"/>
        <v>#REF!</v>
      </c>
      <c r="D801" s="102" t="e">
        <f t="shared" ca="1" si="145"/>
        <v>#REF!</v>
      </c>
      <c r="E801" s="102" t="e">
        <f t="shared" ca="1" si="146"/>
        <v>#REF!</v>
      </c>
      <c r="F801" s="102" t="e">
        <f t="shared" ca="1" si="147"/>
        <v>#REF!</v>
      </c>
      <c r="G801" s="103">
        <f t="shared" ca="1" si="148"/>
        <v>0.42851178739875984</v>
      </c>
      <c r="H801" s="103">
        <f t="shared" ca="1" si="149"/>
        <v>0.19008268982923118</v>
      </c>
      <c r="I801" s="103" t="e">
        <f t="shared" ca="1" si="150"/>
        <v>#REF!</v>
      </c>
      <c r="J801" s="103" t="e">
        <f t="shared" ca="1" si="151"/>
        <v>#REF!</v>
      </c>
      <c r="K801" s="103" t="e">
        <f t="shared" ca="1" si="152"/>
        <v>#REF!</v>
      </c>
      <c r="L801" s="103" t="e">
        <f t="shared" ca="1" si="153"/>
        <v>#REF!</v>
      </c>
      <c r="M801" s="103" t="e">
        <f t="shared" ca="1" si="154"/>
        <v>#REF!</v>
      </c>
      <c r="N801" s="104" t="e">
        <f t="shared" ca="1" si="155"/>
        <v>#REF!</v>
      </c>
    </row>
    <row r="802" spans="1:14">
      <c r="A802" s="96">
        <v>764</v>
      </c>
      <c r="B802" s="102" t="e">
        <f t="shared" ca="1" si="143"/>
        <v>#REF!</v>
      </c>
      <c r="C802" s="102" t="e">
        <f t="shared" ca="1" si="144"/>
        <v>#REF!</v>
      </c>
      <c r="D802" s="102" t="e">
        <f t="shared" ca="1" si="145"/>
        <v>#REF!</v>
      </c>
      <c r="E802" s="102" t="e">
        <f t="shared" ca="1" si="146"/>
        <v>#REF!</v>
      </c>
      <c r="F802" s="102" t="e">
        <f t="shared" ca="1" si="147"/>
        <v>#REF!</v>
      </c>
      <c r="G802" s="103">
        <f t="shared" ca="1" si="148"/>
        <v>0.42375029357773708</v>
      </c>
      <c r="H802" s="103">
        <f t="shared" ca="1" si="149"/>
        <v>0.20774467882445624</v>
      </c>
      <c r="I802" s="103" t="e">
        <f t="shared" ca="1" si="150"/>
        <v>#REF!</v>
      </c>
      <c r="J802" s="103" t="e">
        <f t="shared" ca="1" si="151"/>
        <v>#REF!</v>
      </c>
      <c r="K802" s="103" t="e">
        <f t="shared" ca="1" si="152"/>
        <v>#REF!</v>
      </c>
      <c r="L802" s="103" t="e">
        <f t="shared" ca="1" si="153"/>
        <v>#REF!</v>
      </c>
      <c r="M802" s="103" t="e">
        <f t="shared" ca="1" si="154"/>
        <v>#REF!</v>
      </c>
      <c r="N802" s="104" t="e">
        <f t="shared" ca="1" si="155"/>
        <v>#REF!</v>
      </c>
    </row>
    <row r="803" spans="1:14">
      <c r="A803" s="95">
        <v>765</v>
      </c>
      <c r="B803" s="102" t="e">
        <f t="shared" ca="1" si="143"/>
        <v>#REF!</v>
      </c>
      <c r="C803" s="102" t="e">
        <f t="shared" ca="1" si="144"/>
        <v>#REF!</v>
      </c>
      <c r="D803" s="102" t="e">
        <f t="shared" ca="1" si="145"/>
        <v>#REF!</v>
      </c>
      <c r="E803" s="102" t="e">
        <f t="shared" ca="1" si="146"/>
        <v>#REF!</v>
      </c>
      <c r="F803" s="102" t="e">
        <f t="shared" ca="1" si="147"/>
        <v>#REF!</v>
      </c>
      <c r="G803" s="103">
        <f t="shared" ca="1" si="148"/>
        <v>0.44489795192658488</v>
      </c>
      <c r="H803" s="103">
        <f t="shared" ca="1" si="149"/>
        <v>0.21558263430404356</v>
      </c>
      <c r="I803" s="103" t="e">
        <f t="shared" ca="1" si="150"/>
        <v>#REF!</v>
      </c>
      <c r="J803" s="103" t="e">
        <f t="shared" ca="1" si="151"/>
        <v>#REF!</v>
      </c>
      <c r="K803" s="103" t="e">
        <f t="shared" ca="1" si="152"/>
        <v>#REF!</v>
      </c>
      <c r="L803" s="103" t="e">
        <f t="shared" ca="1" si="153"/>
        <v>#REF!</v>
      </c>
      <c r="M803" s="103" t="e">
        <f t="shared" ca="1" si="154"/>
        <v>#REF!</v>
      </c>
      <c r="N803" s="104" t="e">
        <f t="shared" ca="1" si="155"/>
        <v>#REF!</v>
      </c>
    </row>
    <row r="804" spans="1:14">
      <c r="A804" s="96">
        <v>766</v>
      </c>
      <c r="B804" s="102" t="e">
        <f t="shared" ca="1" si="143"/>
        <v>#REF!</v>
      </c>
      <c r="C804" s="102" t="e">
        <f t="shared" ca="1" si="144"/>
        <v>#REF!</v>
      </c>
      <c r="D804" s="102" t="e">
        <f t="shared" ca="1" si="145"/>
        <v>#REF!</v>
      </c>
      <c r="E804" s="102" t="e">
        <f t="shared" ca="1" si="146"/>
        <v>#REF!</v>
      </c>
      <c r="F804" s="102" t="e">
        <f t="shared" ca="1" si="147"/>
        <v>#REF!</v>
      </c>
      <c r="G804" s="103">
        <f t="shared" ca="1" si="148"/>
        <v>0.38771952111399688</v>
      </c>
      <c r="H804" s="103">
        <f t="shared" ca="1" si="149"/>
        <v>0.19902365779238126</v>
      </c>
      <c r="I804" s="103" t="e">
        <f t="shared" ca="1" si="150"/>
        <v>#REF!</v>
      </c>
      <c r="J804" s="103" t="e">
        <f t="shared" ca="1" si="151"/>
        <v>#REF!</v>
      </c>
      <c r="K804" s="103" t="e">
        <f t="shared" ca="1" si="152"/>
        <v>#REF!</v>
      </c>
      <c r="L804" s="103" t="e">
        <f t="shared" ca="1" si="153"/>
        <v>#REF!</v>
      </c>
      <c r="M804" s="103" t="e">
        <f t="shared" ca="1" si="154"/>
        <v>#REF!</v>
      </c>
      <c r="N804" s="104" t="e">
        <f t="shared" ca="1" si="155"/>
        <v>#REF!</v>
      </c>
    </row>
    <row r="805" spans="1:14">
      <c r="A805" s="95">
        <v>767</v>
      </c>
      <c r="B805" s="102" t="e">
        <f t="shared" ca="1" si="143"/>
        <v>#REF!</v>
      </c>
      <c r="C805" s="102" t="e">
        <f t="shared" ca="1" si="144"/>
        <v>#REF!</v>
      </c>
      <c r="D805" s="102" t="e">
        <f t="shared" ca="1" si="145"/>
        <v>#REF!</v>
      </c>
      <c r="E805" s="102" t="e">
        <f t="shared" ca="1" si="146"/>
        <v>#REF!</v>
      </c>
      <c r="F805" s="102" t="e">
        <f t="shared" ca="1" si="147"/>
        <v>#REF!</v>
      </c>
      <c r="G805" s="103">
        <f t="shared" ca="1" si="148"/>
        <v>0.43220642914068041</v>
      </c>
      <c r="H805" s="103">
        <f t="shared" ca="1" si="149"/>
        <v>0.20046671048956821</v>
      </c>
      <c r="I805" s="103" t="e">
        <f t="shared" ca="1" si="150"/>
        <v>#REF!</v>
      </c>
      <c r="J805" s="103" t="e">
        <f t="shared" ca="1" si="151"/>
        <v>#REF!</v>
      </c>
      <c r="K805" s="103" t="e">
        <f t="shared" ca="1" si="152"/>
        <v>#REF!</v>
      </c>
      <c r="L805" s="103" t="e">
        <f t="shared" ca="1" si="153"/>
        <v>#REF!</v>
      </c>
      <c r="M805" s="103" t="e">
        <f t="shared" ca="1" si="154"/>
        <v>#REF!</v>
      </c>
      <c r="N805" s="104" t="e">
        <f t="shared" ca="1" si="155"/>
        <v>#REF!</v>
      </c>
    </row>
    <row r="806" spans="1:14">
      <c r="A806" s="96">
        <v>768</v>
      </c>
      <c r="B806" s="102" t="e">
        <f t="shared" ca="1" si="143"/>
        <v>#REF!</v>
      </c>
      <c r="C806" s="102" t="e">
        <f t="shared" ca="1" si="144"/>
        <v>#REF!</v>
      </c>
      <c r="D806" s="102" t="e">
        <f t="shared" ca="1" si="145"/>
        <v>#REF!</v>
      </c>
      <c r="E806" s="102" t="e">
        <f t="shared" ca="1" si="146"/>
        <v>#REF!</v>
      </c>
      <c r="F806" s="102" t="e">
        <f t="shared" ca="1" si="147"/>
        <v>#REF!</v>
      </c>
      <c r="G806" s="103">
        <f t="shared" ca="1" si="148"/>
        <v>0.42840546132634916</v>
      </c>
      <c r="H806" s="103">
        <f t="shared" ca="1" si="149"/>
        <v>0.21456704732726009</v>
      </c>
      <c r="I806" s="103" t="e">
        <f t="shared" ca="1" si="150"/>
        <v>#REF!</v>
      </c>
      <c r="J806" s="103" t="e">
        <f t="shared" ca="1" si="151"/>
        <v>#REF!</v>
      </c>
      <c r="K806" s="103" t="e">
        <f t="shared" ca="1" si="152"/>
        <v>#REF!</v>
      </c>
      <c r="L806" s="103" t="e">
        <f t="shared" ca="1" si="153"/>
        <v>#REF!</v>
      </c>
      <c r="M806" s="103" t="e">
        <f t="shared" ca="1" si="154"/>
        <v>#REF!</v>
      </c>
      <c r="N806" s="104" t="e">
        <f t="shared" ca="1" si="155"/>
        <v>#REF!</v>
      </c>
    </row>
    <row r="807" spans="1:14">
      <c r="A807" s="95">
        <v>769</v>
      </c>
      <c r="B807" s="102" t="e">
        <f t="shared" ca="1" si="143"/>
        <v>#REF!</v>
      </c>
      <c r="C807" s="102" t="e">
        <f t="shared" ca="1" si="144"/>
        <v>#REF!</v>
      </c>
      <c r="D807" s="102" t="e">
        <f t="shared" ca="1" si="145"/>
        <v>#REF!</v>
      </c>
      <c r="E807" s="102" t="e">
        <f t="shared" ca="1" si="146"/>
        <v>#REF!</v>
      </c>
      <c r="F807" s="102" t="e">
        <f t="shared" ca="1" si="147"/>
        <v>#REF!</v>
      </c>
      <c r="G807" s="103">
        <f t="shared" ca="1" si="148"/>
        <v>0.49711120280425325</v>
      </c>
      <c r="H807" s="103">
        <f t="shared" ca="1" si="149"/>
        <v>0.20818731791592449</v>
      </c>
      <c r="I807" s="103" t="e">
        <f t="shared" ca="1" si="150"/>
        <v>#REF!</v>
      </c>
      <c r="J807" s="103" t="e">
        <f t="shared" ca="1" si="151"/>
        <v>#REF!</v>
      </c>
      <c r="K807" s="103" t="e">
        <f t="shared" ca="1" si="152"/>
        <v>#REF!</v>
      </c>
      <c r="L807" s="103" t="e">
        <f t="shared" ca="1" si="153"/>
        <v>#REF!</v>
      </c>
      <c r="M807" s="103" t="e">
        <f t="shared" ca="1" si="154"/>
        <v>#REF!</v>
      </c>
      <c r="N807" s="104" t="e">
        <f t="shared" ca="1" si="155"/>
        <v>#REF!</v>
      </c>
    </row>
    <row r="808" spans="1:14">
      <c r="A808" s="96">
        <v>770</v>
      </c>
      <c r="B808" s="102" t="e">
        <f t="shared" ref="B808:B871" ca="1" si="156">_xlfn.LOGNORM.INV(RAND(),$D$5,$E$5)</f>
        <v>#REF!</v>
      </c>
      <c r="C808" s="102" t="e">
        <f t="shared" ref="C808:C871" ca="1" si="157">_xlfn.LOGNORM.INV(RAND(),$D$6,$E$6)</f>
        <v>#REF!</v>
      </c>
      <c r="D808" s="102" t="e">
        <f t="shared" ref="D808:D871" ca="1" si="158">_xlfn.LOGNORM.INV(RAND(),$D$7,$E$7)</f>
        <v>#REF!</v>
      </c>
      <c r="E808" s="102" t="e">
        <f t="shared" ref="E808:E871" ca="1" si="159">_xlfn.LOGNORM.INV(RAND(),$D$8,$E$8)</f>
        <v>#REF!</v>
      </c>
      <c r="F808" s="102" t="e">
        <f t="shared" ref="F808:F871" ca="1" si="160">_xlfn.LOGNORM.INV(RAND(),$D$9,$E$9)</f>
        <v>#REF!</v>
      </c>
      <c r="G808" s="103">
        <f t="shared" ref="G808:G871" ca="1" si="161">_xlfn.NORM.INV(RAND(),$B$12,$C$12)</f>
        <v>0.40248816320449671</v>
      </c>
      <c r="H808" s="103">
        <f t="shared" ref="H808:H871" ca="1" si="162">_xlfn.NORM.INV(RAND(),$B$13,$C$13)</f>
        <v>0.22630521822310884</v>
      </c>
      <c r="I808" s="103" t="e">
        <f t="shared" ref="I808:I871" ca="1" si="163">G808*($E$16/24)+H808*(1-$E$16/24)</f>
        <v>#REF!</v>
      </c>
      <c r="J808" s="103" t="e">
        <f t="shared" ref="J808:J871" ca="1" si="164">G808*($E$17/24)+H808*(1-$E$17/24)</f>
        <v>#REF!</v>
      </c>
      <c r="K808" s="103" t="e">
        <f t="shared" ref="K808:K871" ca="1" si="165">G808*($E$18/24)+H808*(1-$E$18/24)</f>
        <v>#REF!</v>
      </c>
      <c r="L808" s="103" t="e">
        <f t="shared" ref="L808:L871" ca="1" si="166">G808*($E$19/24)+H808*(1-$E$19/24)</f>
        <v>#REF!</v>
      </c>
      <c r="M808" s="103" t="e">
        <f t="shared" ref="M808:M871" ca="1" si="167">G808*($E$20/24)+H808*(1-$E$20/24)</f>
        <v>#REF!</v>
      </c>
      <c r="N808" s="104" t="e">
        <f t="shared" ref="N808:N871" ca="1" si="168">B808*$B$16+C808*$B$17+D808*$B$18+E808*$B$19+F808*$B$20-($C$16*$D$16*I808+$C$17*$D$17*J808+$C$18*$D$18*K808+$C$19*$D$19*L808+$C$20*$D$20*M808)</f>
        <v>#REF!</v>
      </c>
    </row>
    <row r="809" spans="1:14">
      <c r="A809" s="95">
        <v>771</v>
      </c>
      <c r="B809" s="102" t="e">
        <f t="shared" ca="1" si="156"/>
        <v>#REF!</v>
      </c>
      <c r="C809" s="102" t="e">
        <f t="shared" ca="1" si="157"/>
        <v>#REF!</v>
      </c>
      <c r="D809" s="102" t="e">
        <f t="shared" ca="1" si="158"/>
        <v>#REF!</v>
      </c>
      <c r="E809" s="102" t="e">
        <f t="shared" ca="1" si="159"/>
        <v>#REF!</v>
      </c>
      <c r="F809" s="102" t="e">
        <f t="shared" ca="1" si="160"/>
        <v>#REF!</v>
      </c>
      <c r="G809" s="103">
        <f t="shared" ca="1" si="161"/>
        <v>0.45451275085844306</v>
      </c>
      <c r="H809" s="103">
        <f t="shared" ca="1" si="162"/>
        <v>0.21605271267926138</v>
      </c>
      <c r="I809" s="103" t="e">
        <f t="shared" ca="1" si="163"/>
        <v>#REF!</v>
      </c>
      <c r="J809" s="103" t="e">
        <f t="shared" ca="1" si="164"/>
        <v>#REF!</v>
      </c>
      <c r="K809" s="103" t="e">
        <f t="shared" ca="1" si="165"/>
        <v>#REF!</v>
      </c>
      <c r="L809" s="103" t="e">
        <f t="shared" ca="1" si="166"/>
        <v>#REF!</v>
      </c>
      <c r="M809" s="103" t="e">
        <f t="shared" ca="1" si="167"/>
        <v>#REF!</v>
      </c>
      <c r="N809" s="104" t="e">
        <f t="shared" ca="1" si="168"/>
        <v>#REF!</v>
      </c>
    </row>
    <row r="810" spans="1:14">
      <c r="A810" s="96">
        <v>772</v>
      </c>
      <c r="B810" s="102" t="e">
        <f t="shared" ca="1" si="156"/>
        <v>#REF!</v>
      </c>
      <c r="C810" s="102" t="e">
        <f t="shared" ca="1" si="157"/>
        <v>#REF!</v>
      </c>
      <c r="D810" s="102" t="e">
        <f t="shared" ca="1" si="158"/>
        <v>#REF!</v>
      </c>
      <c r="E810" s="102" t="e">
        <f t="shared" ca="1" si="159"/>
        <v>#REF!</v>
      </c>
      <c r="F810" s="102" t="e">
        <f t="shared" ca="1" si="160"/>
        <v>#REF!</v>
      </c>
      <c r="G810" s="103">
        <f t="shared" ca="1" si="161"/>
        <v>0.44128487964273178</v>
      </c>
      <c r="H810" s="103">
        <f t="shared" ca="1" si="162"/>
        <v>0.2003357289592432</v>
      </c>
      <c r="I810" s="103" t="e">
        <f t="shared" ca="1" si="163"/>
        <v>#REF!</v>
      </c>
      <c r="J810" s="103" t="e">
        <f t="shared" ca="1" si="164"/>
        <v>#REF!</v>
      </c>
      <c r="K810" s="103" t="e">
        <f t="shared" ca="1" si="165"/>
        <v>#REF!</v>
      </c>
      <c r="L810" s="103" t="e">
        <f t="shared" ca="1" si="166"/>
        <v>#REF!</v>
      </c>
      <c r="M810" s="103" t="e">
        <f t="shared" ca="1" si="167"/>
        <v>#REF!</v>
      </c>
      <c r="N810" s="104" t="e">
        <f t="shared" ca="1" si="168"/>
        <v>#REF!</v>
      </c>
    </row>
    <row r="811" spans="1:14">
      <c r="A811" s="95">
        <v>773</v>
      </c>
      <c r="B811" s="102" t="e">
        <f t="shared" ca="1" si="156"/>
        <v>#REF!</v>
      </c>
      <c r="C811" s="102" t="e">
        <f t="shared" ca="1" si="157"/>
        <v>#REF!</v>
      </c>
      <c r="D811" s="102" t="e">
        <f t="shared" ca="1" si="158"/>
        <v>#REF!</v>
      </c>
      <c r="E811" s="102" t="e">
        <f t="shared" ca="1" si="159"/>
        <v>#REF!</v>
      </c>
      <c r="F811" s="102" t="e">
        <f t="shared" ca="1" si="160"/>
        <v>#REF!</v>
      </c>
      <c r="G811" s="103">
        <f t="shared" ca="1" si="161"/>
        <v>0.44104276956710503</v>
      </c>
      <c r="H811" s="103">
        <f t="shared" ca="1" si="162"/>
        <v>0.21555132017218179</v>
      </c>
      <c r="I811" s="103" t="e">
        <f t="shared" ca="1" si="163"/>
        <v>#REF!</v>
      </c>
      <c r="J811" s="103" t="e">
        <f t="shared" ca="1" si="164"/>
        <v>#REF!</v>
      </c>
      <c r="K811" s="103" t="e">
        <f t="shared" ca="1" si="165"/>
        <v>#REF!</v>
      </c>
      <c r="L811" s="103" t="e">
        <f t="shared" ca="1" si="166"/>
        <v>#REF!</v>
      </c>
      <c r="M811" s="103" t="e">
        <f t="shared" ca="1" si="167"/>
        <v>#REF!</v>
      </c>
      <c r="N811" s="104" t="e">
        <f t="shared" ca="1" si="168"/>
        <v>#REF!</v>
      </c>
    </row>
    <row r="812" spans="1:14">
      <c r="A812" s="96">
        <v>774</v>
      </c>
      <c r="B812" s="102" t="e">
        <f t="shared" ca="1" si="156"/>
        <v>#REF!</v>
      </c>
      <c r="C812" s="102" t="e">
        <f t="shared" ca="1" si="157"/>
        <v>#REF!</v>
      </c>
      <c r="D812" s="102" t="e">
        <f t="shared" ca="1" si="158"/>
        <v>#REF!</v>
      </c>
      <c r="E812" s="102" t="e">
        <f t="shared" ca="1" si="159"/>
        <v>#REF!</v>
      </c>
      <c r="F812" s="102" t="e">
        <f t="shared" ca="1" si="160"/>
        <v>#REF!</v>
      </c>
      <c r="G812" s="103">
        <f t="shared" ca="1" si="161"/>
        <v>0.42974575728294684</v>
      </c>
      <c r="H812" s="103">
        <f t="shared" ca="1" si="162"/>
        <v>0.19860805004180962</v>
      </c>
      <c r="I812" s="103" t="e">
        <f t="shared" ca="1" si="163"/>
        <v>#REF!</v>
      </c>
      <c r="J812" s="103" t="e">
        <f t="shared" ca="1" si="164"/>
        <v>#REF!</v>
      </c>
      <c r="K812" s="103" t="e">
        <f t="shared" ca="1" si="165"/>
        <v>#REF!</v>
      </c>
      <c r="L812" s="103" t="e">
        <f t="shared" ca="1" si="166"/>
        <v>#REF!</v>
      </c>
      <c r="M812" s="103" t="e">
        <f t="shared" ca="1" si="167"/>
        <v>#REF!</v>
      </c>
      <c r="N812" s="104" t="e">
        <f t="shared" ca="1" si="168"/>
        <v>#REF!</v>
      </c>
    </row>
    <row r="813" spans="1:14">
      <c r="A813" s="95">
        <v>775</v>
      </c>
      <c r="B813" s="102" t="e">
        <f t="shared" ca="1" si="156"/>
        <v>#REF!</v>
      </c>
      <c r="C813" s="102" t="e">
        <f t="shared" ca="1" si="157"/>
        <v>#REF!</v>
      </c>
      <c r="D813" s="102" t="e">
        <f t="shared" ca="1" si="158"/>
        <v>#REF!</v>
      </c>
      <c r="E813" s="102" t="e">
        <f t="shared" ca="1" si="159"/>
        <v>#REF!</v>
      </c>
      <c r="F813" s="102" t="e">
        <f t="shared" ca="1" si="160"/>
        <v>#REF!</v>
      </c>
      <c r="G813" s="103">
        <f t="shared" ca="1" si="161"/>
        <v>0.40264488079445376</v>
      </c>
      <c r="H813" s="103">
        <f t="shared" ca="1" si="162"/>
        <v>0.23340883789892633</v>
      </c>
      <c r="I813" s="103" t="e">
        <f t="shared" ca="1" si="163"/>
        <v>#REF!</v>
      </c>
      <c r="J813" s="103" t="e">
        <f t="shared" ca="1" si="164"/>
        <v>#REF!</v>
      </c>
      <c r="K813" s="103" t="e">
        <f t="shared" ca="1" si="165"/>
        <v>#REF!</v>
      </c>
      <c r="L813" s="103" t="e">
        <f t="shared" ca="1" si="166"/>
        <v>#REF!</v>
      </c>
      <c r="M813" s="103" t="e">
        <f t="shared" ca="1" si="167"/>
        <v>#REF!</v>
      </c>
      <c r="N813" s="104" t="e">
        <f t="shared" ca="1" si="168"/>
        <v>#REF!</v>
      </c>
    </row>
    <row r="814" spans="1:14">
      <c r="A814" s="96">
        <v>776</v>
      </c>
      <c r="B814" s="102" t="e">
        <f t="shared" ca="1" si="156"/>
        <v>#REF!</v>
      </c>
      <c r="C814" s="102" t="e">
        <f t="shared" ca="1" si="157"/>
        <v>#REF!</v>
      </c>
      <c r="D814" s="102" t="e">
        <f t="shared" ca="1" si="158"/>
        <v>#REF!</v>
      </c>
      <c r="E814" s="102" t="e">
        <f t="shared" ca="1" si="159"/>
        <v>#REF!</v>
      </c>
      <c r="F814" s="102" t="e">
        <f t="shared" ca="1" si="160"/>
        <v>#REF!</v>
      </c>
      <c r="G814" s="103">
        <f t="shared" ca="1" si="161"/>
        <v>0.42647748390372658</v>
      </c>
      <c r="H814" s="103">
        <f t="shared" ca="1" si="162"/>
        <v>0.21245529302225838</v>
      </c>
      <c r="I814" s="103" t="e">
        <f t="shared" ca="1" si="163"/>
        <v>#REF!</v>
      </c>
      <c r="J814" s="103" t="e">
        <f t="shared" ca="1" si="164"/>
        <v>#REF!</v>
      </c>
      <c r="K814" s="103" t="e">
        <f t="shared" ca="1" si="165"/>
        <v>#REF!</v>
      </c>
      <c r="L814" s="103" t="e">
        <f t="shared" ca="1" si="166"/>
        <v>#REF!</v>
      </c>
      <c r="M814" s="103" t="e">
        <f t="shared" ca="1" si="167"/>
        <v>#REF!</v>
      </c>
      <c r="N814" s="104" t="e">
        <f t="shared" ca="1" si="168"/>
        <v>#REF!</v>
      </c>
    </row>
    <row r="815" spans="1:14">
      <c r="A815" s="95">
        <v>777</v>
      </c>
      <c r="B815" s="102" t="e">
        <f t="shared" ca="1" si="156"/>
        <v>#REF!</v>
      </c>
      <c r="C815" s="102" t="e">
        <f t="shared" ca="1" si="157"/>
        <v>#REF!</v>
      </c>
      <c r="D815" s="102" t="e">
        <f t="shared" ca="1" si="158"/>
        <v>#REF!</v>
      </c>
      <c r="E815" s="102" t="e">
        <f t="shared" ca="1" si="159"/>
        <v>#REF!</v>
      </c>
      <c r="F815" s="102" t="e">
        <f t="shared" ca="1" si="160"/>
        <v>#REF!</v>
      </c>
      <c r="G815" s="103">
        <f t="shared" ca="1" si="161"/>
        <v>0.43771803926228614</v>
      </c>
      <c r="H815" s="103">
        <f t="shared" ca="1" si="162"/>
        <v>0.20149696470670614</v>
      </c>
      <c r="I815" s="103" t="e">
        <f t="shared" ca="1" si="163"/>
        <v>#REF!</v>
      </c>
      <c r="J815" s="103" t="e">
        <f t="shared" ca="1" si="164"/>
        <v>#REF!</v>
      </c>
      <c r="K815" s="103" t="e">
        <f t="shared" ca="1" si="165"/>
        <v>#REF!</v>
      </c>
      <c r="L815" s="103" t="e">
        <f t="shared" ca="1" si="166"/>
        <v>#REF!</v>
      </c>
      <c r="M815" s="103" t="e">
        <f t="shared" ca="1" si="167"/>
        <v>#REF!</v>
      </c>
      <c r="N815" s="104" t="e">
        <f t="shared" ca="1" si="168"/>
        <v>#REF!</v>
      </c>
    </row>
    <row r="816" spans="1:14">
      <c r="A816" s="96">
        <v>778</v>
      </c>
      <c r="B816" s="102" t="e">
        <f t="shared" ca="1" si="156"/>
        <v>#REF!</v>
      </c>
      <c r="C816" s="102" t="e">
        <f t="shared" ca="1" si="157"/>
        <v>#REF!</v>
      </c>
      <c r="D816" s="102" t="e">
        <f t="shared" ca="1" si="158"/>
        <v>#REF!</v>
      </c>
      <c r="E816" s="102" t="e">
        <f t="shared" ca="1" si="159"/>
        <v>#REF!</v>
      </c>
      <c r="F816" s="102" t="e">
        <f t="shared" ca="1" si="160"/>
        <v>#REF!</v>
      </c>
      <c r="G816" s="103">
        <f t="shared" ca="1" si="161"/>
        <v>0.48837562902762421</v>
      </c>
      <c r="H816" s="103">
        <f t="shared" ca="1" si="162"/>
        <v>0.20239237506277652</v>
      </c>
      <c r="I816" s="103" t="e">
        <f t="shared" ca="1" si="163"/>
        <v>#REF!</v>
      </c>
      <c r="J816" s="103" t="e">
        <f t="shared" ca="1" si="164"/>
        <v>#REF!</v>
      </c>
      <c r="K816" s="103" t="e">
        <f t="shared" ca="1" si="165"/>
        <v>#REF!</v>
      </c>
      <c r="L816" s="103" t="e">
        <f t="shared" ca="1" si="166"/>
        <v>#REF!</v>
      </c>
      <c r="M816" s="103" t="e">
        <f t="shared" ca="1" si="167"/>
        <v>#REF!</v>
      </c>
      <c r="N816" s="104" t="e">
        <f t="shared" ca="1" si="168"/>
        <v>#REF!</v>
      </c>
    </row>
    <row r="817" spans="1:14">
      <c r="A817" s="95">
        <v>779</v>
      </c>
      <c r="B817" s="102" t="e">
        <f t="shared" ca="1" si="156"/>
        <v>#REF!</v>
      </c>
      <c r="C817" s="102" t="e">
        <f t="shared" ca="1" si="157"/>
        <v>#REF!</v>
      </c>
      <c r="D817" s="102" t="e">
        <f t="shared" ca="1" si="158"/>
        <v>#REF!</v>
      </c>
      <c r="E817" s="102" t="e">
        <f t="shared" ca="1" si="159"/>
        <v>#REF!</v>
      </c>
      <c r="F817" s="102" t="e">
        <f t="shared" ca="1" si="160"/>
        <v>#REF!</v>
      </c>
      <c r="G817" s="103">
        <f t="shared" ca="1" si="161"/>
        <v>0.41838459096845182</v>
      </c>
      <c r="H817" s="103">
        <f t="shared" ca="1" si="162"/>
        <v>0.20218122668237756</v>
      </c>
      <c r="I817" s="103" t="e">
        <f t="shared" ca="1" si="163"/>
        <v>#REF!</v>
      </c>
      <c r="J817" s="103" t="e">
        <f t="shared" ca="1" si="164"/>
        <v>#REF!</v>
      </c>
      <c r="K817" s="103" t="e">
        <f t="shared" ca="1" si="165"/>
        <v>#REF!</v>
      </c>
      <c r="L817" s="103" t="e">
        <f t="shared" ca="1" si="166"/>
        <v>#REF!</v>
      </c>
      <c r="M817" s="103" t="e">
        <f t="shared" ca="1" si="167"/>
        <v>#REF!</v>
      </c>
      <c r="N817" s="104" t="e">
        <f t="shared" ca="1" si="168"/>
        <v>#REF!</v>
      </c>
    </row>
    <row r="818" spans="1:14">
      <c r="A818" s="96">
        <v>780</v>
      </c>
      <c r="B818" s="102" t="e">
        <f t="shared" ca="1" si="156"/>
        <v>#REF!</v>
      </c>
      <c r="C818" s="102" t="e">
        <f t="shared" ca="1" si="157"/>
        <v>#REF!</v>
      </c>
      <c r="D818" s="102" t="e">
        <f t="shared" ca="1" si="158"/>
        <v>#REF!</v>
      </c>
      <c r="E818" s="102" t="e">
        <f t="shared" ca="1" si="159"/>
        <v>#REF!</v>
      </c>
      <c r="F818" s="102" t="e">
        <f t="shared" ca="1" si="160"/>
        <v>#REF!</v>
      </c>
      <c r="G818" s="103">
        <f t="shared" ca="1" si="161"/>
        <v>0.4362930401087064</v>
      </c>
      <c r="H818" s="103">
        <f t="shared" ca="1" si="162"/>
        <v>0.20335607845884232</v>
      </c>
      <c r="I818" s="103" t="e">
        <f t="shared" ca="1" si="163"/>
        <v>#REF!</v>
      </c>
      <c r="J818" s="103" t="e">
        <f t="shared" ca="1" si="164"/>
        <v>#REF!</v>
      </c>
      <c r="K818" s="103" t="e">
        <f t="shared" ca="1" si="165"/>
        <v>#REF!</v>
      </c>
      <c r="L818" s="103" t="e">
        <f t="shared" ca="1" si="166"/>
        <v>#REF!</v>
      </c>
      <c r="M818" s="103" t="e">
        <f t="shared" ca="1" si="167"/>
        <v>#REF!</v>
      </c>
      <c r="N818" s="104" t="e">
        <f t="shared" ca="1" si="168"/>
        <v>#REF!</v>
      </c>
    </row>
    <row r="819" spans="1:14">
      <c r="A819" s="95">
        <v>781</v>
      </c>
      <c r="B819" s="102" t="e">
        <f t="shared" ca="1" si="156"/>
        <v>#REF!</v>
      </c>
      <c r="C819" s="102" t="e">
        <f t="shared" ca="1" si="157"/>
        <v>#REF!</v>
      </c>
      <c r="D819" s="102" t="e">
        <f t="shared" ca="1" si="158"/>
        <v>#REF!</v>
      </c>
      <c r="E819" s="102" t="e">
        <f t="shared" ca="1" si="159"/>
        <v>#REF!</v>
      </c>
      <c r="F819" s="102" t="e">
        <f t="shared" ca="1" si="160"/>
        <v>#REF!</v>
      </c>
      <c r="G819" s="103">
        <f t="shared" ca="1" si="161"/>
        <v>0.43399870428523513</v>
      </c>
      <c r="H819" s="103">
        <f t="shared" ca="1" si="162"/>
        <v>0.21834100637829396</v>
      </c>
      <c r="I819" s="103" t="e">
        <f t="shared" ca="1" si="163"/>
        <v>#REF!</v>
      </c>
      <c r="J819" s="103" t="e">
        <f t="shared" ca="1" si="164"/>
        <v>#REF!</v>
      </c>
      <c r="K819" s="103" t="e">
        <f t="shared" ca="1" si="165"/>
        <v>#REF!</v>
      </c>
      <c r="L819" s="103" t="e">
        <f t="shared" ca="1" si="166"/>
        <v>#REF!</v>
      </c>
      <c r="M819" s="103" t="e">
        <f t="shared" ca="1" si="167"/>
        <v>#REF!</v>
      </c>
      <c r="N819" s="104" t="e">
        <f t="shared" ca="1" si="168"/>
        <v>#REF!</v>
      </c>
    </row>
    <row r="820" spans="1:14">
      <c r="A820" s="96">
        <v>782</v>
      </c>
      <c r="B820" s="102" t="e">
        <f t="shared" ca="1" si="156"/>
        <v>#REF!</v>
      </c>
      <c r="C820" s="102" t="e">
        <f t="shared" ca="1" si="157"/>
        <v>#REF!</v>
      </c>
      <c r="D820" s="102" t="e">
        <f t="shared" ca="1" si="158"/>
        <v>#REF!</v>
      </c>
      <c r="E820" s="102" t="e">
        <f t="shared" ca="1" si="159"/>
        <v>#REF!</v>
      </c>
      <c r="F820" s="102" t="e">
        <f t="shared" ca="1" si="160"/>
        <v>#REF!</v>
      </c>
      <c r="G820" s="103">
        <f t="shared" ca="1" si="161"/>
        <v>0.44477284366737546</v>
      </c>
      <c r="H820" s="103">
        <f t="shared" ca="1" si="162"/>
        <v>0.1691803919676752</v>
      </c>
      <c r="I820" s="103" t="e">
        <f t="shared" ca="1" si="163"/>
        <v>#REF!</v>
      </c>
      <c r="J820" s="103" t="e">
        <f t="shared" ca="1" si="164"/>
        <v>#REF!</v>
      </c>
      <c r="K820" s="103" t="e">
        <f t="shared" ca="1" si="165"/>
        <v>#REF!</v>
      </c>
      <c r="L820" s="103" t="e">
        <f t="shared" ca="1" si="166"/>
        <v>#REF!</v>
      </c>
      <c r="M820" s="103" t="e">
        <f t="shared" ca="1" si="167"/>
        <v>#REF!</v>
      </c>
      <c r="N820" s="104" t="e">
        <f t="shared" ca="1" si="168"/>
        <v>#REF!</v>
      </c>
    </row>
    <row r="821" spans="1:14">
      <c r="A821" s="95">
        <v>783</v>
      </c>
      <c r="B821" s="102" t="e">
        <f t="shared" ca="1" si="156"/>
        <v>#REF!</v>
      </c>
      <c r="C821" s="102" t="e">
        <f t="shared" ca="1" si="157"/>
        <v>#REF!</v>
      </c>
      <c r="D821" s="102" t="e">
        <f t="shared" ca="1" si="158"/>
        <v>#REF!</v>
      </c>
      <c r="E821" s="102" t="e">
        <f t="shared" ca="1" si="159"/>
        <v>#REF!</v>
      </c>
      <c r="F821" s="102" t="e">
        <f t="shared" ca="1" si="160"/>
        <v>#REF!</v>
      </c>
      <c r="G821" s="103">
        <f t="shared" ca="1" si="161"/>
        <v>0.43109344263051297</v>
      </c>
      <c r="H821" s="103">
        <f t="shared" ca="1" si="162"/>
        <v>0.18673254094812936</v>
      </c>
      <c r="I821" s="103" t="e">
        <f t="shared" ca="1" si="163"/>
        <v>#REF!</v>
      </c>
      <c r="J821" s="103" t="e">
        <f t="shared" ca="1" si="164"/>
        <v>#REF!</v>
      </c>
      <c r="K821" s="103" t="e">
        <f t="shared" ca="1" si="165"/>
        <v>#REF!</v>
      </c>
      <c r="L821" s="103" t="e">
        <f t="shared" ca="1" si="166"/>
        <v>#REF!</v>
      </c>
      <c r="M821" s="103" t="e">
        <f t="shared" ca="1" si="167"/>
        <v>#REF!</v>
      </c>
      <c r="N821" s="104" t="e">
        <f t="shared" ca="1" si="168"/>
        <v>#REF!</v>
      </c>
    </row>
    <row r="822" spans="1:14">
      <c r="A822" s="96">
        <v>784</v>
      </c>
      <c r="B822" s="102" t="e">
        <f t="shared" ca="1" si="156"/>
        <v>#REF!</v>
      </c>
      <c r="C822" s="102" t="e">
        <f t="shared" ca="1" si="157"/>
        <v>#REF!</v>
      </c>
      <c r="D822" s="102" t="e">
        <f t="shared" ca="1" si="158"/>
        <v>#REF!</v>
      </c>
      <c r="E822" s="102" t="e">
        <f t="shared" ca="1" si="159"/>
        <v>#REF!</v>
      </c>
      <c r="F822" s="102" t="e">
        <f t="shared" ca="1" si="160"/>
        <v>#REF!</v>
      </c>
      <c r="G822" s="103">
        <f t="shared" ca="1" si="161"/>
        <v>0.4818937022154498</v>
      </c>
      <c r="H822" s="103">
        <f t="shared" ca="1" si="162"/>
        <v>0.17937200821714755</v>
      </c>
      <c r="I822" s="103" t="e">
        <f t="shared" ca="1" si="163"/>
        <v>#REF!</v>
      </c>
      <c r="J822" s="103" t="e">
        <f t="shared" ca="1" si="164"/>
        <v>#REF!</v>
      </c>
      <c r="K822" s="103" t="e">
        <f t="shared" ca="1" si="165"/>
        <v>#REF!</v>
      </c>
      <c r="L822" s="103" t="e">
        <f t="shared" ca="1" si="166"/>
        <v>#REF!</v>
      </c>
      <c r="M822" s="103" t="e">
        <f t="shared" ca="1" si="167"/>
        <v>#REF!</v>
      </c>
      <c r="N822" s="104" t="e">
        <f t="shared" ca="1" si="168"/>
        <v>#REF!</v>
      </c>
    </row>
    <row r="823" spans="1:14">
      <c r="A823" s="95">
        <v>785</v>
      </c>
      <c r="B823" s="102" t="e">
        <f t="shared" ca="1" si="156"/>
        <v>#REF!</v>
      </c>
      <c r="C823" s="102" t="e">
        <f t="shared" ca="1" si="157"/>
        <v>#REF!</v>
      </c>
      <c r="D823" s="102" t="e">
        <f t="shared" ca="1" si="158"/>
        <v>#REF!</v>
      </c>
      <c r="E823" s="102" t="e">
        <f t="shared" ca="1" si="159"/>
        <v>#REF!</v>
      </c>
      <c r="F823" s="102" t="e">
        <f t="shared" ca="1" si="160"/>
        <v>#REF!</v>
      </c>
      <c r="G823" s="103">
        <f t="shared" ca="1" si="161"/>
        <v>0.44044674586303173</v>
      </c>
      <c r="H823" s="103">
        <f t="shared" ca="1" si="162"/>
        <v>0.21708435258309303</v>
      </c>
      <c r="I823" s="103" t="e">
        <f t="shared" ca="1" si="163"/>
        <v>#REF!</v>
      </c>
      <c r="J823" s="103" t="e">
        <f t="shared" ca="1" si="164"/>
        <v>#REF!</v>
      </c>
      <c r="K823" s="103" t="e">
        <f t="shared" ca="1" si="165"/>
        <v>#REF!</v>
      </c>
      <c r="L823" s="103" t="e">
        <f t="shared" ca="1" si="166"/>
        <v>#REF!</v>
      </c>
      <c r="M823" s="103" t="e">
        <f t="shared" ca="1" si="167"/>
        <v>#REF!</v>
      </c>
      <c r="N823" s="104" t="e">
        <f t="shared" ca="1" si="168"/>
        <v>#REF!</v>
      </c>
    </row>
    <row r="824" spans="1:14">
      <c r="A824" s="96">
        <v>786</v>
      </c>
      <c r="B824" s="102" t="e">
        <f t="shared" ca="1" si="156"/>
        <v>#REF!</v>
      </c>
      <c r="C824" s="102" t="e">
        <f t="shared" ca="1" si="157"/>
        <v>#REF!</v>
      </c>
      <c r="D824" s="102" t="e">
        <f t="shared" ca="1" si="158"/>
        <v>#REF!</v>
      </c>
      <c r="E824" s="102" t="e">
        <f t="shared" ca="1" si="159"/>
        <v>#REF!</v>
      </c>
      <c r="F824" s="102" t="e">
        <f t="shared" ca="1" si="160"/>
        <v>#REF!</v>
      </c>
      <c r="G824" s="103">
        <f t="shared" ca="1" si="161"/>
        <v>0.4453213781380792</v>
      </c>
      <c r="H824" s="103">
        <f t="shared" ca="1" si="162"/>
        <v>0.19609469753305545</v>
      </c>
      <c r="I824" s="103" t="e">
        <f t="shared" ca="1" si="163"/>
        <v>#REF!</v>
      </c>
      <c r="J824" s="103" t="e">
        <f t="shared" ca="1" si="164"/>
        <v>#REF!</v>
      </c>
      <c r="K824" s="103" t="e">
        <f t="shared" ca="1" si="165"/>
        <v>#REF!</v>
      </c>
      <c r="L824" s="103" t="e">
        <f t="shared" ca="1" si="166"/>
        <v>#REF!</v>
      </c>
      <c r="M824" s="103" t="e">
        <f t="shared" ca="1" si="167"/>
        <v>#REF!</v>
      </c>
      <c r="N824" s="104" t="e">
        <f t="shared" ca="1" si="168"/>
        <v>#REF!</v>
      </c>
    </row>
    <row r="825" spans="1:14">
      <c r="A825" s="95">
        <v>787</v>
      </c>
      <c r="B825" s="102" t="e">
        <f t="shared" ca="1" si="156"/>
        <v>#REF!</v>
      </c>
      <c r="C825" s="102" t="e">
        <f t="shared" ca="1" si="157"/>
        <v>#REF!</v>
      </c>
      <c r="D825" s="102" t="e">
        <f t="shared" ca="1" si="158"/>
        <v>#REF!</v>
      </c>
      <c r="E825" s="102" t="e">
        <f t="shared" ca="1" si="159"/>
        <v>#REF!</v>
      </c>
      <c r="F825" s="102" t="e">
        <f t="shared" ca="1" si="160"/>
        <v>#REF!</v>
      </c>
      <c r="G825" s="103">
        <f t="shared" ca="1" si="161"/>
        <v>0.42299770232417605</v>
      </c>
      <c r="H825" s="103">
        <f t="shared" ca="1" si="162"/>
        <v>0.22486303528655577</v>
      </c>
      <c r="I825" s="103" t="e">
        <f t="shared" ca="1" si="163"/>
        <v>#REF!</v>
      </c>
      <c r="J825" s="103" t="e">
        <f t="shared" ca="1" si="164"/>
        <v>#REF!</v>
      </c>
      <c r="K825" s="103" t="e">
        <f t="shared" ca="1" si="165"/>
        <v>#REF!</v>
      </c>
      <c r="L825" s="103" t="e">
        <f t="shared" ca="1" si="166"/>
        <v>#REF!</v>
      </c>
      <c r="M825" s="103" t="e">
        <f t="shared" ca="1" si="167"/>
        <v>#REF!</v>
      </c>
      <c r="N825" s="104" t="e">
        <f t="shared" ca="1" si="168"/>
        <v>#REF!</v>
      </c>
    </row>
    <row r="826" spans="1:14">
      <c r="A826" s="96">
        <v>788</v>
      </c>
      <c r="B826" s="102" t="e">
        <f t="shared" ca="1" si="156"/>
        <v>#REF!</v>
      </c>
      <c r="C826" s="102" t="e">
        <f t="shared" ca="1" si="157"/>
        <v>#REF!</v>
      </c>
      <c r="D826" s="102" t="e">
        <f t="shared" ca="1" si="158"/>
        <v>#REF!</v>
      </c>
      <c r="E826" s="102" t="e">
        <f t="shared" ca="1" si="159"/>
        <v>#REF!</v>
      </c>
      <c r="F826" s="102" t="e">
        <f t="shared" ca="1" si="160"/>
        <v>#REF!</v>
      </c>
      <c r="G826" s="103">
        <f t="shared" ca="1" si="161"/>
        <v>0.43610639929340689</v>
      </c>
      <c r="H826" s="103">
        <f t="shared" ca="1" si="162"/>
        <v>0.22023975778846275</v>
      </c>
      <c r="I826" s="103" t="e">
        <f t="shared" ca="1" si="163"/>
        <v>#REF!</v>
      </c>
      <c r="J826" s="103" t="e">
        <f t="shared" ca="1" si="164"/>
        <v>#REF!</v>
      </c>
      <c r="K826" s="103" t="e">
        <f t="shared" ca="1" si="165"/>
        <v>#REF!</v>
      </c>
      <c r="L826" s="103" t="e">
        <f t="shared" ca="1" si="166"/>
        <v>#REF!</v>
      </c>
      <c r="M826" s="103" t="e">
        <f t="shared" ca="1" si="167"/>
        <v>#REF!</v>
      </c>
      <c r="N826" s="104" t="e">
        <f t="shared" ca="1" si="168"/>
        <v>#REF!</v>
      </c>
    </row>
    <row r="827" spans="1:14">
      <c r="A827" s="95">
        <v>789</v>
      </c>
      <c r="B827" s="102" t="e">
        <f t="shared" ca="1" si="156"/>
        <v>#REF!</v>
      </c>
      <c r="C827" s="102" t="e">
        <f t="shared" ca="1" si="157"/>
        <v>#REF!</v>
      </c>
      <c r="D827" s="102" t="e">
        <f t="shared" ca="1" si="158"/>
        <v>#REF!</v>
      </c>
      <c r="E827" s="102" t="e">
        <f t="shared" ca="1" si="159"/>
        <v>#REF!</v>
      </c>
      <c r="F827" s="102" t="e">
        <f t="shared" ca="1" si="160"/>
        <v>#REF!</v>
      </c>
      <c r="G827" s="103">
        <f t="shared" ca="1" si="161"/>
        <v>0.39843992207997092</v>
      </c>
      <c r="H827" s="103">
        <f t="shared" ca="1" si="162"/>
        <v>0.19723628282406594</v>
      </c>
      <c r="I827" s="103" t="e">
        <f t="shared" ca="1" si="163"/>
        <v>#REF!</v>
      </c>
      <c r="J827" s="103" t="e">
        <f t="shared" ca="1" si="164"/>
        <v>#REF!</v>
      </c>
      <c r="K827" s="103" t="e">
        <f t="shared" ca="1" si="165"/>
        <v>#REF!</v>
      </c>
      <c r="L827" s="103" t="e">
        <f t="shared" ca="1" si="166"/>
        <v>#REF!</v>
      </c>
      <c r="M827" s="103" t="e">
        <f t="shared" ca="1" si="167"/>
        <v>#REF!</v>
      </c>
      <c r="N827" s="104" t="e">
        <f t="shared" ca="1" si="168"/>
        <v>#REF!</v>
      </c>
    </row>
    <row r="828" spans="1:14">
      <c r="A828" s="96">
        <v>790</v>
      </c>
      <c r="B828" s="102" t="e">
        <f t="shared" ca="1" si="156"/>
        <v>#REF!</v>
      </c>
      <c r="C828" s="102" t="e">
        <f t="shared" ca="1" si="157"/>
        <v>#REF!</v>
      </c>
      <c r="D828" s="102" t="e">
        <f t="shared" ca="1" si="158"/>
        <v>#REF!</v>
      </c>
      <c r="E828" s="102" t="e">
        <f t="shared" ca="1" si="159"/>
        <v>#REF!</v>
      </c>
      <c r="F828" s="102" t="e">
        <f t="shared" ca="1" si="160"/>
        <v>#REF!</v>
      </c>
      <c r="G828" s="103">
        <f t="shared" ca="1" si="161"/>
        <v>0.41483234615970715</v>
      </c>
      <c r="H828" s="103">
        <f t="shared" ca="1" si="162"/>
        <v>0.18515440757622253</v>
      </c>
      <c r="I828" s="103" t="e">
        <f t="shared" ca="1" si="163"/>
        <v>#REF!</v>
      </c>
      <c r="J828" s="103" t="e">
        <f t="shared" ca="1" si="164"/>
        <v>#REF!</v>
      </c>
      <c r="K828" s="103" t="e">
        <f t="shared" ca="1" si="165"/>
        <v>#REF!</v>
      </c>
      <c r="L828" s="103" t="e">
        <f t="shared" ca="1" si="166"/>
        <v>#REF!</v>
      </c>
      <c r="M828" s="103" t="e">
        <f t="shared" ca="1" si="167"/>
        <v>#REF!</v>
      </c>
      <c r="N828" s="104" t="e">
        <f t="shared" ca="1" si="168"/>
        <v>#REF!</v>
      </c>
    </row>
    <row r="829" spans="1:14">
      <c r="A829" s="95">
        <v>791</v>
      </c>
      <c r="B829" s="102" t="e">
        <f t="shared" ca="1" si="156"/>
        <v>#REF!</v>
      </c>
      <c r="C829" s="102" t="e">
        <f t="shared" ca="1" si="157"/>
        <v>#REF!</v>
      </c>
      <c r="D829" s="102" t="e">
        <f t="shared" ca="1" si="158"/>
        <v>#REF!</v>
      </c>
      <c r="E829" s="102" t="e">
        <f t="shared" ca="1" si="159"/>
        <v>#REF!</v>
      </c>
      <c r="F829" s="102" t="e">
        <f t="shared" ca="1" si="160"/>
        <v>#REF!</v>
      </c>
      <c r="G829" s="103">
        <f t="shared" ca="1" si="161"/>
        <v>0.42067129444185203</v>
      </c>
      <c r="H829" s="103">
        <f t="shared" ca="1" si="162"/>
        <v>0.19433119136096974</v>
      </c>
      <c r="I829" s="103" t="e">
        <f t="shared" ca="1" si="163"/>
        <v>#REF!</v>
      </c>
      <c r="J829" s="103" t="e">
        <f t="shared" ca="1" si="164"/>
        <v>#REF!</v>
      </c>
      <c r="K829" s="103" t="e">
        <f t="shared" ca="1" si="165"/>
        <v>#REF!</v>
      </c>
      <c r="L829" s="103" t="e">
        <f t="shared" ca="1" si="166"/>
        <v>#REF!</v>
      </c>
      <c r="M829" s="103" t="e">
        <f t="shared" ca="1" si="167"/>
        <v>#REF!</v>
      </c>
      <c r="N829" s="104" t="e">
        <f t="shared" ca="1" si="168"/>
        <v>#REF!</v>
      </c>
    </row>
    <row r="830" spans="1:14">
      <c r="A830" s="96">
        <v>792</v>
      </c>
      <c r="B830" s="102" t="e">
        <f t="shared" ca="1" si="156"/>
        <v>#REF!</v>
      </c>
      <c r="C830" s="102" t="e">
        <f t="shared" ca="1" si="157"/>
        <v>#REF!</v>
      </c>
      <c r="D830" s="102" t="e">
        <f t="shared" ca="1" si="158"/>
        <v>#REF!</v>
      </c>
      <c r="E830" s="102" t="e">
        <f t="shared" ca="1" si="159"/>
        <v>#REF!</v>
      </c>
      <c r="F830" s="102" t="e">
        <f t="shared" ca="1" si="160"/>
        <v>#REF!</v>
      </c>
      <c r="G830" s="103">
        <f t="shared" ca="1" si="161"/>
        <v>0.41591922064580084</v>
      </c>
      <c r="H830" s="103">
        <f t="shared" ca="1" si="162"/>
        <v>0.19061751046536016</v>
      </c>
      <c r="I830" s="103" t="e">
        <f t="shared" ca="1" si="163"/>
        <v>#REF!</v>
      </c>
      <c r="J830" s="103" t="e">
        <f t="shared" ca="1" si="164"/>
        <v>#REF!</v>
      </c>
      <c r="K830" s="103" t="e">
        <f t="shared" ca="1" si="165"/>
        <v>#REF!</v>
      </c>
      <c r="L830" s="103" t="e">
        <f t="shared" ca="1" si="166"/>
        <v>#REF!</v>
      </c>
      <c r="M830" s="103" t="e">
        <f t="shared" ca="1" si="167"/>
        <v>#REF!</v>
      </c>
      <c r="N830" s="104" t="e">
        <f t="shared" ca="1" si="168"/>
        <v>#REF!</v>
      </c>
    </row>
    <row r="831" spans="1:14">
      <c r="A831" s="95">
        <v>793</v>
      </c>
      <c r="B831" s="102" t="e">
        <f t="shared" ca="1" si="156"/>
        <v>#REF!</v>
      </c>
      <c r="C831" s="102" t="e">
        <f t="shared" ca="1" si="157"/>
        <v>#REF!</v>
      </c>
      <c r="D831" s="102" t="e">
        <f t="shared" ca="1" si="158"/>
        <v>#REF!</v>
      </c>
      <c r="E831" s="102" t="e">
        <f t="shared" ca="1" si="159"/>
        <v>#REF!</v>
      </c>
      <c r="F831" s="102" t="e">
        <f t="shared" ca="1" si="160"/>
        <v>#REF!</v>
      </c>
      <c r="G831" s="103">
        <f t="shared" ca="1" si="161"/>
        <v>0.42088790231078288</v>
      </c>
      <c r="H831" s="103">
        <f t="shared" ca="1" si="162"/>
        <v>0.20382660021165327</v>
      </c>
      <c r="I831" s="103" t="e">
        <f t="shared" ca="1" si="163"/>
        <v>#REF!</v>
      </c>
      <c r="J831" s="103" t="e">
        <f t="shared" ca="1" si="164"/>
        <v>#REF!</v>
      </c>
      <c r="K831" s="103" t="e">
        <f t="shared" ca="1" si="165"/>
        <v>#REF!</v>
      </c>
      <c r="L831" s="103" t="e">
        <f t="shared" ca="1" si="166"/>
        <v>#REF!</v>
      </c>
      <c r="M831" s="103" t="e">
        <f t="shared" ca="1" si="167"/>
        <v>#REF!</v>
      </c>
      <c r="N831" s="104" t="e">
        <f t="shared" ca="1" si="168"/>
        <v>#REF!</v>
      </c>
    </row>
    <row r="832" spans="1:14">
      <c r="A832" s="96">
        <v>794</v>
      </c>
      <c r="B832" s="102" t="e">
        <f t="shared" ca="1" si="156"/>
        <v>#REF!</v>
      </c>
      <c r="C832" s="102" t="e">
        <f t="shared" ca="1" si="157"/>
        <v>#REF!</v>
      </c>
      <c r="D832" s="102" t="e">
        <f t="shared" ca="1" si="158"/>
        <v>#REF!</v>
      </c>
      <c r="E832" s="102" t="e">
        <f t="shared" ca="1" si="159"/>
        <v>#REF!</v>
      </c>
      <c r="F832" s="102" t="e">
        <f t="shared" ca="1" si="160"/>
        <v>#REF!</v>
      </c>
      <c r="G832" s="103">
        <f t="shared" ca="1" si="161"/>
        <v>0.43346723924797081</v>
      </c>
      <c r="H832" s="103">
        <f t="shared" ca="1" si="162"/>
        <v>0.19167794165562738</v>
      </c>
      <c r="I832" s="103" t="e">
        <f t="shared" ca="1" si="163"/>
        <v>#REF!</v>
      </c>
      <c r="J832" s="103" t="e">
        <f t="shared" ca="1" si="164"/>
        <v>#REF!</v>
      </c>
      <c r="K832" s="103" t="e">
        <f t="shared" ca="1" si="165"/>
        <v>#REF!</v>
      </c>
      <c r="L832" s="103" t="e">
        <f t="shared" ca="1" si="166"/>
        <v>#REF!</v>
      </c>
      <c r="M832" s="103" t="e">
        <f t="shared" ca="1" si="167"/>
        <v>#REF!</v>
      </c>
      <c r="N832" s="104" t="e">
        <f t="shared" ca="1" si="168"/>
        <v>#REF!</v>
      </c>
    </row>
    <row r="833" spans="1:14">
      <c r="A833" s="95">
        <v>795</v>
      </c>
      <c r="B833" s="102" t="e">
        <f t="shared" ca="1" si="156"/>
        <v>#REF!</v>
      </c>
      <c r="C833" s="102" t="e">
        <f t="shared" ca="1" si="157"/>
        <v>#REF!</v>
      </c>
      <c r="D833" s="102" t="e">
        <f t="shared" ca="1" si="158"/>
        <v>#REF!</v>
      </c>
      <c r="E833" s="102" t="e">
        <f t="shared" ca="1" si="159"/>
        <v>#REF!</v>
      </c>
      <c r="F833" s="102" t="e">
        <f t="shared" ca="1" si="160"/>
        <v>#REF!</v>
      </c>
      <c r="G833" s="103">
        <f t="shared" ca="1" si="161"/>
        <v>0.48029544857026829</v>
      </c>
      <c r="H833" s="103">
        <f t="shared" ca="1" si="162"/>
        <v>0.21682751309235027</v>
      </c>
      <c r="I833" s="103" t="e">
        <f t="shared" ca="1" si="163"/>
        <v>#REF!</v>
      </c>
      <c r="J833" s="103" t="e">
        <f t="shared" ca="1" si="164"/>
        <v>#REF!</v>
      </c>
      <c r="K833" s="103" t="e">
        <f t="shared" ca="1" si="165"/>
        <v>#REF!</v>
      </c>
      <c r="L833" s="103" t="e">
        <f t="shared" ca="1" si="166"/>
        <v>#REF!</v>
      </c>
      <c r="M833" s="103" t="e">
        <f t="shared" ca="1" si="167"/>
        <v>#REF!</v>
      </c>
      <c r="N833" s="104" t="e">
        <f t="shared" ca="1" si="168"/>
        <v>#REF!</v>
      </c>
    </row>
    <row r="834" spans="1:14">
      <c r="A834" s="96">
        <v>796</v>
      </c>
      <c r="B834" s="102" t="e">
        <f t="shared" ca="1" si="156"/>
        <v>#REF!</v>
      </c>
      <c r="C834" s="102" t="e">
        <f t="shared" ca="1" si="157"/>
        <v>#REF!</v>
      </c>
      <c r="D834" s="102" t="e">
        <f t="shared" ca="1" si="158"/>
        <v>#REF!</v>
      </c>
      <c r="E834" s="102" t="e">
        <f t="shared" ca="1" si="159"/>
        <v>#REF!</v>
      </c>
      <c r="F834" s="102" t="e">
        <f t="shared" ca="1" si="160"/>
        <v>#REF!</v>
      </c>
      <c r="G834" s="103">
        <f t="shared" ca="1" si="161"/>
        <v>0.40773981549453725</v>
      </c>
      <c r="H834" s="103">
        <f t="shared" ca="1" si="162"/>
        <v>0.20888899134797506</v>
      </c>
      <c r="I834" s="103" t="e">
        <f t="shared" ca="1" si="163"/>
        <v>#REF!</v>
      </c>
      <c r="J834" s="103" t="e">
        <f t="shared" ca="1" si="164"/>
        <v>#REF!</v>
      </c>
      <c r="K834" s="103" t="e">
        <f t="shared" ca="1" si="165"/>
        <v>#REF!</v>
      </c>
      <c r="L834" s="103" t="e">
        <f t="shared" ca="1" si="166"/>
        <v>#REF!</v>
      </c>
      <c r="M834" s="103" t="e">
        <f t="shared" ca="1" si="167"/>
        <v>#REF!</v>
      </c>
      <c r="N834" s="104" t="e">
        <f t="shared" ca="1" si="168"/>
        <v>#REF!</v>
      </c>
    </row>
    <row r="835" spans="1:14">
      <c r="A835" s="95">
        <v>797</v>
      </c>
      <c r="B835" s="102" t="e">
        <f t="shared" ca="1" si="156"/>
        <v>#REF!</v>
      </c>
      <c r="C835" s="102" t="e">
        <f t="shared" ca="1" si="157"/>
        <v>#REF!</v>
      </c>
      <c r="D835" s="102" t="e">
        <f t="shared" ca="1" si="158"/>
        <v>#REF!</v>
      </c>
      <c r="E835" s="102" t="e">
        <f t="shared" ca="1" si="159"/>
        <v>#REF!</v>
      </c>
      <c r="F835" s="102" t="e">
        <f t="shared" ca="1" si="160"/>
        <v>#REF!</v>
      </c>
      <c r="G835" s="103">
        <f t="shared" ca="1" si="161"/>
        <v>0.46405018209090465</v>
      </c>
      <c r="H835" s="103">
        <f t="shared" ca="1" si="162"/>
        <v>0.19789126484355762</v>
      </c>
      <c r="I835" s="103" t="e">
        <f t="shared" ca="1" si="163"/>
        <v>#REF!</v>
      </c>
      <c r="J835" s="103" t="e">
        <f t="shared" ca="1" si="164"/>
        <v>#REF!</v>
      </c>
      <c r="K835" s="103" t="e">
        <f t="shared" ca="1" si="165"/>
        <v>#REF!</v>
      </c>
      <c r="L835" s="103" t="e">
        <f t="shared" ca="1" si="166"/>
        <v>#REF!</v>
      </c>
      <c r="M835" s="103" t="e">
        <f t="shared" ca="1" si="167"/>
        <v>#REF!</v>
      </c>
      <c r="N835" s="104" t="e">
        <f t="shared" ca="1" si="168"/>
        <v>#REF!</v>
      </c>
    </row>
    <row r="836" spans="1:14">
      <c r="A836" s="96">
        <v>798</v>
      </c>
      <c r="B836" s="102" t="e">
        <f t="shared" ca="1" si="156"/>
        <v>#REF!</v>
      </c>
      <c r="C836" s="102" t="e">
        <f t="shared" ca="1" si="157"/>
        <v>#REF!</v>
      </c>
      <c r="D836" s="102" t="e">
        <f t="shared" ca="1" si="158"/>
        <v>#REF!</v>
      </c>
      <c r="E836" s="102" t="e">
        <f t="shared" ca="1" si="159"/>
        <v>#REF!</v>
      </c>
      <c r="F836" s="102" t="e">
        <f t="shared" ca="1" si="160"/>
        <v>#REF!</v>
      </c>
      <c r="G836" s="103">
        <f t="shared" ca="1" si="161"/>
        <v>0.42752856794746757</v>
      </c>
      <c r="H836" s="103">
        <f t="shared" ca="1" si="162"/>
        <v>0.19877573604704984</v>
      </c>
      <c r="I836" s="103" t="e">
        <f t="shared" ca="1" si="163"/>
        <v>#REF!</v>
      </c>
      <c r="J836" s="103" t="e">
        <f t="shared" ca="1" si="164"/>
        <v>#REF!</v>
      </c>
      <c r="K836" s="103" t="e">
        <f t="shared" ca="1" si="165"/>
        <v>#REF!</v>
      </c>
      <c r="L836" s="103" t="e">
        <f t="shared" ca="1" si="166"/>
        <v>#REF!</v>
      </c>
      <c r="M836" s="103" t="e">
        <f t="shared" ca="1" si="167"/>
        <v>#REF!</v>
      </c>
      <c r="N836" s="104" t="e">
        <f t="shared" ca="1" si="168"/>
        <v>#REF!</v>
      </c>
    </row>
    <row r="837" spans="1:14">
      <c r="A837" s="95">
        <v>799</v>
      </c>
      <c r="B837" s="102" t="e">
        <f t="shared" ca="1" si="156"/>
        <v>#REF!</v>
      </c>
      <c r="C837" s="102" t="e">
        <f t="shared" ca="1" si="157"/>
        <v>#REF!</v>
      </c>
      <c r="D837" s="102" t="e">
        <f t="shared" ca="1" si="158"/>
        <v>#REF!</v>
      </c>
      <c r="E837" s="102" t="e">
        <f t="shared" ca="1" si="159"/>
        <v>#REF!</v>
      </c>
      <c r="F837" s="102" t="e">
        <f t="shared" ca="1" si="160"/>
        <v>#REF!</v>
      </c>
      <c r="G837" s="103">
        <f t="shared" ca="1" si="161"/>
        <v>0.45659952471800436</v>
      </c>
      <c r="H837" s="103">
        <f t="shared" ca="1" si="162"/>
        <v>0.22430060470955751</v>
      </c>
      <c r="I837" s="103" t="e">
        <f t="shared" ca="1" si="163"/>
        <v>#REF!</v>
      </c>
      <c r="J837" s="103" t="e">
        <f t="shared" ca="1" si="164"/>
        <v>#REF!</v>
      </c>
      <c r="K837" s="103" t="e">
        <f t="shared" ca="1" si="165"/>
        <v>#REF!</v>
      </c>
      <c r="L837" s="103" t="e">
        <f t="shared" ca="1" si="166"/>
        <v>#REF!</v>
      </c>
      <c r="M837" s="103" t="e">
        <f t="shared" ca="1" si="167"/>
        <v>#REF!</v>
      </c>
      <c r="N837" s="104" t="e">
        <f t="shared" ca="1" si="168"/>
        <v>#REF!</v>
      </c>
    </row>
    <row r="838" spans="1:14">
      <c r="A838" s="96">
        <v>800</v>
      </c>
      <c r="B838" s="102" t="e">
        <f t="shared" ca="1" si="156"/>
        <v>#REF!</v>
      </c>
      <c r="C838" s="102" t="e">
        <f t="shared" ca="1" si="157"/>
        <v>#REF!</v>
      </c>
      <c r="D838" s="102" t="e">
        <f t="shared" ca="1" si="158"/>
        <v>#REF!</v>
      </c>
      <c r="E838" s="102" t="e">
        <f t="shared" ca="1" si="159"/>
        <v>#REF!</v>
      </c>
      <c r="F838" s="102" t="e">
        <f t="shared" ca="1" si="160"/>
        <v>#REF!</v>
      </c>
      <c r="G838" s="103">
        <f t="shared" ca="1" si="161"/>
        <v>0.40220697577410419</v>
      </c>
      <c r="H838" s="103">
        <f t="shared" ca="1" si="162"/>
        <v>0.18962973038689115</v>
      </c>
      <c r="I838" s="103" t="e">
        <f t="shared" ca="1" si="163"/>
        <v>#REF!</v>
      </c>
      <c r="J838" s="103" t="e">
        <f t="shared" ca="1" si="164"/>
        <v>#REF!</v>
      </c>
      <c r="K838" s="103" t="e">
        <f t="shared" ca="1" si="165"/>
        <v>#REF!</v>
      </c>
      <c r="L838" s="103" t="e">
        <f t="shared" ca="1" si="166"/>
        <v>#REF!</v>
      </c>
      <c r="M838" s="103" t="e">
        <f t="shared" ca="1" si="167"/>
        <v>#REF!</v>
      </c>
      <c r="N838" s="104" t="e">
        <f t="shared" ca="1" si="168"/>
        <v>#REF!</v>
      </c>
    </row>
    <row r="839" spans="1:14">
      <c r="A839" s="95">
        <v>801</v>
      </c>
      <c r="B839" s="102" t="e">
        <f t="shared" ca="1" si="156"/>
        <v>#REF!</v>
      </c>
      <c r="C839" s="102" t="e">
        <f t="shared" ca="1" si="157"/>
        <v>#REF!</v>
      </c>
      <c r="D839" s="102" t="e">
        <f t="shared" ca="1" si="158"/>
        <v>#REF!</v>
      </c>
      <c r="E839" s="102" t="e">
        <f t="shared" ca="1" si="159"/>
        <v>#REF!</v>
      </c>
      <c r="F839" s="102" t="e">
        <f t="shared" ca="1" si="160"/>
        <v>#REF!</v>
      </c>
      <c r="G839" s="103">
        <f t="shared" ca="1" si="161"/>
        <v>0.42905336833789359</v>
      </c>
      <c r="H839" s="103">
        <f t="shared" ca="1" si="162"/>
        <v>0.21007734069947107</v>
      </c>
      <c r="I839" s="103" t="e">
        <f t="shared" ca="1" si="163"/>
        <v>#REF!</v>
      </c>
      <c r="J839" s="103" t="e">
        <f t="shared" ca="1" si="164"/>
        <v>#REF!</v>
      </c>
      <c r="K839" s="103" t="e">
        <f t="shared" ca="1" si="165"/>
        <v>#REF!</v>
      </c>
      <c r="L839" s="103" t="e">
        <f t="shared" ca="1" si="166"/>
        <v>#REF!</v>
      </c>
      <c r="M839" s="103" t="e">
        <f t="shared" ca="1" si="167"/>
        <v>#REF!</v>
      </c>
      <c r="N839" s="104" t="e">
        <f t="shared" ca="1" si="168"/>
        <v>#REF!</v>
      </c>
    </row>
    <row r="840" spans="1:14">
      <c r="A840" s="96">
        <v>802</v>
      </c>
      <c r="B840" s="102" t="e">
        <f t="shared" ca="1" si="156"/>
        <v>#REF!</v>
      </c>
      <c r="C840" s="102" t="e">
        <f t="shared" ca="1" si="157"/>
        <v>#REF!</v>
      </c>
      <c r="D840" s="102" t="e">
        <f t="shared" ca="1" si="158"/>
        <v>#REF!</v>
      </c>
      <c r="E840" s="102" t="e">
        <f t="shared" ca="1" si="159"/>
        <v>#REF!</v>
      </c>
      <c r="F840" s="102" t="e">
        <f t="shared" ca="1" si="160"/>
        <v>#REF!</v>
      </c>
      <c r="G840" s="103">
        <f t="shared" ca="1" si="161"/>
        <v>0.45617024821428365</v>
      </c>
      <c r="H840" s="103">
        <f t="shared" ca="1" si="162"/>
        <v>0.20471211849077051</v>
      </c>
      <c r="I840" s="103" t="e">
        <f t="shared" ca="1" si="163"/>
        <v>#REF!</v>
      </c>
      <c r="J840" s="103" t="e">
        <f t="shared" ca="1" si="164"/>
        <v>#REF!</v>
      </c>
      <c r="K840" s="103" t="e">
        <f t="shared" ca="1" si="165"/>
        <v>#REF!</v>
      </c>
      <c r="L840" s="103" t="e">
        <f t="shared" ca="1" si="166"/>
        <v>#REF!</v>
      </c>
      <c r="M840" s="103" t="e">
        <f t="shared" ca="1" si="167"/>
        <v>#REF!</v>
      </c>
      <c r="N840" s="104" t="e">
        <f t="shared" ca="1" si="168"/>
        <v>#REF!</v>
      </c>
    </row>
    <row r="841" spans="1:14">
      <c r="A841" s="95">
        <v>803</v>
      </c>
      <c r="B841" s="102" t="e">
        <f t="shared" ca="1" si="156"/>
        <v>#REF!</v>
      </c>
      <c r="C841" s="102" t="e">
        <f t="shared" ca="1" si="157"/>
        <v>#REF!</v>
      </c>
      <c r="D841" s="102" t="e">
        <f t="shared" ca="1" si="158"/>
        <v>#REF!</v>
      </c>
      <c r="E841" s="102" t="e">
        <f t="shared" ca="1" si="159"/>
        <v>#REF!</v>
      </c>
      <c r="F841" s="102" t="e">
        <f t="shared" ca="1" si="160"/>
        <v>#REF!</v>
      </c>
      <c r="G841" s="103">
        <f t="shared" ca="1" si="161"/>
        <v>0.45257433119226914</v>
      </c>
      <c r="H841" s="103">
        <f t="shared" ca="1" si="162"/>
        <v>0.16190170713043964</v>
      </c>
      <c r="I841" s="103" t="e">
        <f t="shared" ca="1" si="163"/>
        <v>#REF!</v>
      </c>
      <c r="J841" s="103" t="e">
        <f t="shared" ca="1" si="164"/>
        <v>#REF!</v>
      </c>
      <c r="K841" s="103" t="e">
        <f t="shared" ca="1" si="165"/>
        <v>#REF!</v>
      </c>
      <c r="L841" s="103" t="e">
        <f t="shared" ca="1" si="166"/>
        <v>#REF!</v>
      </c>
      <c r="M841" s="103" t="e">
        <f t="shared" ca="1" si="167"/>
        <v>#REF!</v>
      </c>
      <c r="N841" s="104" t="e">
        <f t="shared" ca="1" si="168"/>
        <v>#REF!</v>
      </c>
    </row>
    <row r="842" spans="1:14">
      <c r="A842" s="96">
        <v>804</v>
      </c>
      <c r="B842" s="102" t="e">
        <f t="shared" ca="1" si="156"/>
        <v>#REF!</v>
      </c>
      <c r="C842" s="102" t="e">
        <f t="shared" ca="1" si="157"/>
        <v>#REF!</v>
      </c>
      <c r="D842" s="102" t="e">
        <f t="shared" ca="1" si="158"/>
        <v>#REF!</v>
      </c>
      <c r="E842" s="102" t="e">
        <f t="shared" ca="1" si="159"/>
        <v>#REF!</v>
      </c>
      <c r="F842" s="102" t="e">
        <f t="shared" ca="1" si="160"/>
        <v>#REF!</v>
      </c>
      <c r="G842" s="103">
        <f t="shared" ca="1" si="161"/>
        <v>0.44342850944803469</v>
      </c>
      <c r="H842" s="103">
        <f t="shared" ca="1" si="162"/>
        <v>0.20596758615798677</v>
      </c>
      <c r="I842" s="103" t="e">
        <f t="shared" ca="1" si="163"/>
        <v>#REF!</v>
      </c>
      <c r="J842" s="103" t="e">
        <f t="shared" ca="1" si="164"/>
        <v>#REF!</v>
      </c>
      <c r="K842" s="103" t="e">
        <f t="shared" ca="1" si="165"/>
        <v>#REF!</v>
      </c>
      <c r="L842" s="103" t="e">
        <f t="shared" ca="1" si="166"/>
        <v>#REF!</v>
      </c>
      <c r="M842" s="103" t="e">
        <f t="shared" ca="1" si="167"/>
        <v>#REF!</v>
      </c>
      <c r="N842" s="104" t="e">
        <f t="shared" ca="1" si="168"/>
        <v>#REF!</v>
      </c>
    </row>
    <row r="843" spans="1:14">
      <c r="A843" s="95">
        <v>805</v>
      </c>
      <c r="B843" s="102" t="e">
        <f t="shared" ca="1" si="156"/>
        <v>#REF!</v>
      </c>
      <c r="C843" s="102" t="e">
        <f t="shared" ca="1" si="157"/>
        <v>#REF!</v>
      </c>
      <c r="D843" s="102" t="e">
        <f t="shared" ca="1" si="158"/>
        <v>#REF!</v>
      </c>
      <c r="E843" s="102" t="e">
        <f t="shared" ca="1" si="159"/>
        <v>#REF!</v>
      </c>
      <c r="F843" s="102" t="e">
        <f t="shared" ca="1" si="160"/>
        <v>#REF!</v>
      </c>
      <c r="G843" s="103">
        <f t="shared" ca="1" si="161"/>
        <v>0.41079755414156782</v>
      </c>
      <c r="H843" s="103">
        <f t="shared" ca="1" si="162"/>
        <v>0.19690696143333727</v>
      </c>
      <c r="I843" s="103" t="e">
        <f t="shared" ca="1" si="163"/>
        <v>#REF!</v>
      </c>
      <c r="J843" s="103" t="e">
        <f t="shared" ca="1" si="164"/>
        <v>#REF!</v>
      </c>
      <c r="K843" s="103" t="e">
        <f t="shared" ca="1" si="165"/>
        <v>#REF!</v>
      </c>
      <c r="L843" s="103" t="e">
        <f t="shared" ca="1" si="166"/>
        <v>#REF!</v>
      </c>
      <c r="M843" s="103" t="e">
        <f t="shared" ca="1" si="167"/>
        <v>#REF!</v>
      </c>
      <c r="N843" s="104" t="e">
        <f t="shared" ca="1" si="168"/>
        <v>#REF!</v>
      </c>
    </row>
    <row r="844" spans="1:14">
      <c r="A844" s="96">
        <v>806</v>
      </c>
      <c r="B844" s="102" t="e">
        <f t="shared" ca="1" si="156"/>
        <v>#REF!</v>
      </c>
      <c r="C844" s="102" t="e">
        <f t="shared" ca="1" si="157"/>
        <v>#REF!</v>
      </c>
      <c r="D844" s="102" t="e">
        <f t="shared" ca="1" si="158"/>
        <v>#REF!</v>
      </c>
      <c r="E844" s="102" t="e">
        <f t="shared" ca="1" si="159"/>
        <v>#REF!</v>
      </c>
      <c r="F844" s="102" t="e">
        <f t="shared" ca="1" si="160"/>
        <v>#REF!</v>
      </c>
      <c r="G844" s="103">
        <f t="shared" ca="1" si="161"/>
        <v>0.42692575631639501</v>
      </c>
      <c r="H844" s="103">
        <f t="shared" ca="1" si="162"/>
        <v>0.17128107263756304</v>
      </c>
      <c r="I844" s="103" t="e">
        <f t="shared" ca="1" si="163"/>
        <v>#REF!</v>
      </c>
      <c r="J844" s="103" t="e">
        <f t="shared" ca="1" si="164"/>
        <v>#REF!</v>
      </c>
      <c r="K844" s="103" t="e">
        <f t="shared" ca="1" si="165"/>
        <v>#REF!</v>
      </c>
      <c r="L844" s="103" t="e">
        <f t="shared" ca="1" si="166"/>
        <v>#REF!</v>
      </c>
      <c r="M844" s="103" t="e">
        <f t="shared" ca="1" si="167"/>
        <v>#REF!</v>
      </c>
      <c r="N844" s="104" t="e">
        <f t="shared" ca="1" si="168"/>
        <v>#REF!</v>
      </c>
    </row>
    <row r="845" spans="1:14">
      <c r="A845" s="95">
        <v>807</v>
      </c>
      <c r="B845" s="102" t="e">
        <f t="shared" ca="1" si="156"/>
        <v>#REF!</v>
      </c>
      <c r="C845" s="102" t="e">
        <f t="shared" ca="1" si="157"/>
        <v>#REF!</v>
      </c>
      <c r="D845" s="102" t="e">
        <f t="shared" ca="1" si="158"/>
        <v>#REF!</v>
      </c>
      <c r="E845" s="102" t="e">
        <f t="shared" ca="1" si="159"/>
        <v>#REF!</v>
      </c>
      <c r="F845" s="102" t="e">
        <f t="shared" ca="1" si="160"/>
        <v>#REF!</v>
      </c>
      <c r="G845" s="103">
        <f t="shared" ca="1" si="161"/>
        <v>0.46303709765318385</v>
      </c>
      <c r="H845" s="103">
        <f t="shared" ca="1" si="162"/>
        <v>0.20164536713668915</v>
      </c>
      <c r="I845" s="103" t="e">
        <f t="shared" ca="1" si="163"/>
        <v>#REF!</v>
      </c>
      <c r="J845" s="103" t="e">
        <f t="shared" ca="1" si="164"/>
        <v>#REF!</v>
      </c>
      <c r="K845" s="103" t="e">
        <f t="shared" ca="1" si="165"/>
        <v>#REF!</v>
      </c>
      <c r="L845" s="103" t="e">
        <f t="shared" ca="1" si="166"/>
        <v>#REF!</v>
      </c>
      <c r="M845" s="103" t="e">
        <f t="shared" ca="1" si="167"/>
        <v>#REF!</v>
      </c>
      <c r="N845" s="104" t="e">
        <f t="shared" ca="1" si="168"/>
        <v>#REF!</v>
      </c>
    </row>
    <row r="846" spans="1:14">
      <c r="A846" s="96">
        <v>808</v>
      </c>
      <c r="B846" s="102" t="e">
        <f t="shared" ca="1" si="156"/>
        <v>#REF!</v>
      </c>
      <c r="C846" s="102" t="e">
        <f t="shared" ca="1" si="157"/>
        <v>#REF!</v>
      </c>
      <c r="D846" s="102" t="e">
        <f t="shared" ca="1" si="158"/>
        <v>#REF!</v>
      </c>
      <c r="E846" s="102" t="e">
        <f t="shared" ca="1" si="159"/>
        <v>#REF!</v>
      </c>
      <c r="F846" s="102" t="e">
        <f t="shared" ca="1" si="160"/>
        <v>#REF!</v>
      </c>
      <c r="G846" s="103">
        <f t="shared" ca="1" si="161"/>
        <v>0.40887543145949423</v>
      </c>
      <c r="H846" s="103">
        <f t="shared" ca="1" si="162"/>
        <v>0.2018955206442084</v>
      </c>
      <c r="I846" s="103" t="e">
        <f t="shared" ca="1" si="163"/>
        <v>#REF!</v>
      </c>
      <c r="J846" s="103" t="e">
        <f t="shared" ca="1" si="164"/>
        <v>#REF!</v>
      </c>
      <c r="K846" s="103" t="e">
        <f t="shared" ca="1" si="165"/>
        <v>#REF!</v>
      </c>
      <c r="L846" s="103" t="e">
        <f t="shared" ca="1" si="166"/>
        <v>#REF!</v>
      </c>
      <c r="M846" s="103" t="e">
        <f t="shared" ca="1" si="167"/>
        <v>#REF!</v>
      </c>
      <c r="N846" s="104" t="e">
        <f t="shared" ca="1" si="168"/>
        <v>#REF!</v>
      </c>
    </row>
    <row r="847" spans="1:14">
      <c r="A847" s="95">
        <v>809</v>
      </c>
      <c r="B847" s="102" t="e">
        <f t="shared" ca="1" si="156"/>
        <v>#REF!</v>
      </c>
      <c r="C847" s="102" t="e">
        <f t="shared" ca="1" si="157"/>
        <v>#REF!</v>
      </c>
      <c r="D847" s="102" t="e">
        <f t="shared" ca="1" si="158"/>
        <v>#REF!</v>
      </c>
      <c r="E847" s="102" t="e">
        <f t="shared" ca="1" si="159"/>
        <v>#REF!</v>
      </c>
      <c r="F847" s="102" t="e">
        <f t="shared" ca="1" si="160"/>
        <v>#REF!</v>
      </c>
      <c r="G847" s="103">
        <f t="shared" ca="1" si="161"/>
        <v>0.43078565382773387</v>
      </c>
      <c r="H847" s="103">
        <f t="shared" ca="1" si="162"/>
        <v>0.18728447904907061</v>
      </c>
      <c r="I847" s="103" t="e">
        <f t="shared" ca="1" si="163"/>
        <v>#REF!</v>
      </c>
      <c r="J847" s="103" t="e">
        <f t="shared" ca="1" si="164"/>
        <v>#REF!</v>
      </c>
      <c r="K847" s="103" t="e">
        <f t="shared" ca="1" si="165"/>
        <v>#REF!</v>
      </c>
      <c r="L847" s="103" t="e">
        <f t="shared" ca="1" si="166"/>
        <v>#REF!</v>
      </c>
      <c r="M847" s="103" t="e">
        <f t="shared" ca="1" si="167"/>
        <v>#REF!</v>
      </c>
      <c r="N847" s="104" t="e">
        <f t="shared" ca="1" si="168"/>
        <v>#REF!</v>
      </c>
    </row>
    <row r="848" spans="1:14">
      <c r="A848" s="96">
        <v>810</v>
      </c>
      <c r="B848" s="102" t="e">
        <f t="shared" ca="1" si="156"/>
        <v>#REF!</v>
      </c>
      <c r="C848" s="102" t="e">
        <f t="shared" ca="1" si="157"/>
        <v>#REF!</v>
      </c>
      <c r="D848" s="102" t="e">
        <f t="shared" ca="1" si="158"/>
        <v>#REF!</v>
      </c>
      <c r="E848" s="102" t="e">
        <f t="shared" ca="1" si="159"/>
        <v>#REF!</v>
      </c>
      <c r="F848" s="102" t="e">
        <f t="shared" ca="1" si="160"/>
        <v>#REF!</v>
      </c>
      <c r="G848" s="103">
        <f t="shared" ca="1" si="161"/>
        <v>0.42026981488728821</v>
      </c>
      <c r="H848" s="103">
        <f t="shared" ca="1" si="162"/>
        <v>0.20551720434465834</v>
      </c>
      <c r="I848" s="103" t="e">
        <f t="shared" ca="1" si="163"/>
        <v>#REF!</v>
      </c>
      <c r="J848" s="103" t="e">
        <f t="shared" ca="1" si="164"/>
        <v>#REF!</v>
      </c>
      <c r="K848" s="103" t="e">
        <f t="shared" ca="1" si="165"/>
        <v>#REF!</v>
      </c>
      <c r="L848" s="103" t="e">
        <f t="shared" ca="1" si="166"/>
        <v>#REF!</v>
      </c>
      <c r="M848" s="103" t="e">
        <f t="shared" ca="1" si="167"/>
        <v>#REF!</v>
      </c>
      <c r="N848" s="104" t="e">
        <f t="shared" ca="1" si="168"/>
        <v>#REF!</v>
      </c>
    </row>
    <row r="849" spans="1:14">
      <c r="A849" s="95">
        <v>811</v>
      </c>
      <c r="B849" s="102" t="e">
        <f t="shared" ca="1" si="156"/>
        <v>#REF!</v>
      </c>
      <c r="C849" s="102" t="e">
        <f t="shared" ca="1" si="157"/>
        <v>#REF!</v>
      </c>
      <c r="D849" s="102" t="e">
        <f t="shared" ca="1" si="158"/>
        <v>#REF!</v>
      </c>
      <c r="E849" s="102" t="e">
        <f t="shared" ca="1" si="159"/>
        <v>#REF!</v>
      </c>
      <c r="F849" s="102" t="e">
        <f t="shared" ca="1" si="160"/>
        <v>#REF!</v>
      </c>
      <c r="G849" s="103">
        <f t="shared" ca="1" si="161"/>
        <v>0.35988007567618996</v>
      </c>
      <c r="H849" s="103">
        <f t="shared" ca="1" si="162"/>
        <v>0.22656136055509279</v>
      </c>
      <c r="I849" s="103" t="e">
        <f t="shared" ca="1" si="163"/>
        <v>#REF!</v>
      </c>
      <c r="J849" s="103" t="e">
        <f t="shared" ca="1" si="164"/>
        <v>#REF!</v>
      </c>
      <c r="K849" s="103" t="e">
        <f t="shared" ca="1" si="165"/>
        <v>#REF!</v>
      </c>
      <c r="L849" s="103" t="e">
        <f t="shared" ca="1" si="166"/>
        <v>#REF!</v>
      </c>
      <c r="M849" s="103" t="e">
        <f t="shared" ca="1" si="167"/>
        <v>#REF!</v>
      </c>
      <c r="N849" s="104" t="e">
        <f t="shared" ca="1" si="168"/>
        <v>#REF!</v>
      </c>
    </row>
    <row r="850" spans="1:14">
      <c r="A850" s="96">
        <v>812</v>
      </c>
      <c r="B850" s="102" t="e">
        <f t="shared" ca="1" si="156"/>
        <v>#REF!</v>
      </c>
      <c r="C850" s="102" t="e">
        <f t="shared" ca="1" si="157"/>
        <v>#REF!</v>
      </c>
      <c r="D850" s="102" t="e">
        <f t="shared" ca="1" si="158"/>
        <v>#REF!</v>
      </c>
      <c r="E850" s="102" t="e">
        <f t="shared" ca="1" si="159"/>
        <v>#REF!</v>
      </c>
      <c r="F850" s="102" t="e">
        <f t="shared" ca="1" si="160"/>
        <v>#REF!</v>
      </c>
      <c r="G850" s="103">
        <f t="shared" ca="1" si="161"/>
        <v>0.39558623886692529</v>
      </c>
      <c r="H850" s="103">
        <f t="shared" ca="1" si="162"/>
        <v>0.20524921071673266</v>
      </c>
      <c r="I850" s="103" t="e">
        <f t="shared" ca="1" si="163"/>
        <v>#REF!</v>
      </c>
      <c r="J850" s="103" t="e">
        <f t="shared" ca="1" si="164"/>
        <v>#REF!</v>
      </c>
      <c r="K850" s="103" t="e">
        <f t="shared" ca="1" si="165"/>
        <v>#REF!</v>
      </c>
      <c r="L850" s="103" t="e">
        <f t="shared" ca="1" si="166"/>
        <v>#REF!</v>
      </c>
      <c r="M850" s="103" t="e">
        <f t="shared" ca="1" si="167"/>
        <v>#REF!</v>
      </c>
      <c r="N850" s="104" t="e">
        <f t="shared" ca="1" si="168"/>
        <v>#REF!</v>
      </c>
    </row>
    <row r="851" spans="1:14">
      <c r="A851" s="95">
        <v>813</v>
      </c>
      <c r="B851" s="102" t="e">
        <f t="shared" ca="1" si="156"/>
        <v>#REF!</v>
      </c>
      <c r="C851" s="102" t="e">
        <f t="shared" ca="1" si="157"/>
        <v>#REF!</v>
      </c>
      <c r="D851" s="102" t="e">
        <f t="shared" ca="1" si="158"/>
        <v>#REF!</v>
      </c>
      <c r="E851" s="102" t="e">
        <f t="shared" ca="1" si="159"/>
        <v>#REF!</v>
      </c>
      <c r="F851" s="102" t="e">
        <f t="shared" ca="1" si="160"/>
        <v>#REF!</v>
      </c>
      <c r="G851" s="103">
        <f t="shared" ca="1" si="161"/>
        <v>0.42051683354380515</v>
      </c>
      <c r="H851" s="103">
        <f t="shared" ca="1" si="162"/>
        <v>0.22086891057099894</v>
      </c>
      <c r="I851" s="103" t="e">
        <f t="shared" ca="1" si="163"/>
        <v>#REF!</v>
      </c>
      <c r="J851" s="103" t="e">
        <f t="shared" ca="1" si="164"/>
        <v>#REF!</v>
      </c>
      <c r="K851" s="103" t="e">
        <f t="shared" ca="1" si="165"/>
        <v>#REF!</v>
      </c>
      <c r="L851" s="103" t="e">
        <f t="shared" ca="1" si="166"/>
        <v>#REF!</v>
      </c>
      <c r="M851" s="103" t="e">
        <f t="shared" ca="1" si="167"/>
        <v>#REF!</v>
      </c>
      <c r="N851" s="104" t="e">
        <f t="shared" ca="1" si="168"/>
        <v>#REF!</v>
      </c>
    </row>
    <row r="852" spans="1:14">
      <c r="A852" s="96">
        <v>814</v>
      </c>
      <c r="B852" s="102" t="e">
        <f t="shared" ca="1" si="156"/>
        <v>#REF!</v>
      </c>
      <c r="C852" s="102" t="e">
        <f t="shared" ca="1" si="157"/>
        <v>#REF!</v>
      </c>
      <c r="D852" s="102" t="e">
        <f t="shared" ca="1" si="158"/>
        <v>#REF!</v>
      </c>
      <c r="E852" s="102" t="e">
        <f t="shared" ca="1" si="159"/>
        <v>#REF!</v>
      </c>
      <c r="F852" s="102" t="e">
        <f t="shared" ca="1" si="160"/>
        <v>#REF!</v>
      </c>
      <c r="G852" s="103">
        <f t="shared" ca="1" si="161"/>
        <v>0.42137799894240707</v>
      </c>
      <c r="H852" s="103">
        <f t="shared" ca="1" si="162"/>
        <v>0.19472781458098731</v>
      </c>
      <c r="I852" s="103" t="e">
        <f t="shared" ca="1" si="163"/>
        <v>#REF!</v>
      </c>
      <c r="J852" s="103" t="e">
        <f t="shared" ca="1" si="164"/>
        <v>#REF!</v>
      </c>
      <c r="K852" s="103" t="e">
        <f t="shared" ca="1" si="165"/>
        <v>#REF!</v>
      </c>
      <c r="L852" s="103" t="e">
        <f t="shared" ca="1" si="166"/>
        <v>#REF!</v>
      </c>
      <c r="M852" s="103" t="e">
        <f t="shared" ca="1" si="167"/>
        <v>#REF!</v>
      </c>
      <c r="N852" s="104" t="e">
        <f t="shared" ca="1" si="168"/>
        <v>#REF!</v>
      </c>
    </row>
    <row r="853" spans="1:14">
      <c r="A853" s="95">
        <v>815</v>
      </c>
      <c r="B853" s="102" t="e">
        <f t="shared" ca="1" si="156"/>
        <v>#REF!</v>
      </c>
      <c r="C853" s="102" t="e">
        <f t="shared" ca="1" si="157"/>
        <v>#REF!</v>
      </c>
      <c r="D853" s="102" t="e">
        <f t="shared" ca="1" si="158"/>
        <v>#REF!</v>
      </c>
      <c r="E853" s="102" t="e">
        <f t="shared" ca="1" si="159"/>
        <v>#REF!</v>
      </c>
      <c r="F853" s="102" t="e">
        <f t="shared" ca="1" si="160"/>
        <v>#REF!</v>
      </c>
      <c r="G853" s="103">
        <f t="shared" ca="1" si="161"/>
        <v>0.40057034434378491</v>
      </c>
      <c r="H853" s="103">
        <f t="shared" ca="1" si="162"/>
        <v>0.19866482519141521</v>
      </c>
      <c r="I853" s="103" t="e">
        <f t="shared" ca="1" si="163"/>
        <v>#REF!</v>
      </c>
      <c r="J853" s="103" t="e">
        <f t="shared" ca="1" si="164"/>
        <v>#REF!</v>
      </c>
      <c r="K853" s="103" t="e">
        <f t="shared" ca="1" si="165"/>
        <v>#REF!</v>
      </c>
      <c r="L853" s="103" t="e">
        <f t="shared" ca="1" si="166"/>
        <v>#REF!</v>
      </c>
      <c r="M853" s="103" t="e">
        <f t="shared" ca="1" si="167"/>
        <v>#REF!</v>
      </c>
      <c r="N853" s="104" t="e">
        <f t="shared" ca="1" si="168"/>
        <v>#REF!</v>
      </c>
    </row>
    <row r="854" spans="1:14">
      <c r="A854" s="96">
        <v>816</v>
      </c>
      <c r="B854" s="102" t="e">
        <f t="shared" ca="1" si="156"/>
        <v>#REF!</v>
      </c>
      <c r="C854" s="102" t="e">
        <f t="shared" ca="1" si="157"/>
        <v>#REF!</v>
      </c>
      <c r="D854" s="102" t="e">
        <f t="shared" ca="1" si="158"/>
        <v>#REF!</v>
      </c>
      <c r="E854" s="102" t="e">
        <f t="shared" ca="1" si="159"/>
        <v>#REF!</v>
      </c>
      <c r="F854" s="102" t="e">
        <f t="shared" ca="1" si="160"/>
        <v>#REF!</v>
      </c>
      <c r="G854" s="103">
        <f t="shared" ca="1" si="161"/>
        <v>0.45167915755591387</v>
      </c>
      <c r="H854" s="103">
        <f t="shared" ca="1" si="162"/>
        <v>0.1817879832371789</v>
      </c>
      <c r="I854" s="103" t="e">
        <f t="shared" ca="1" si="163"/>
        <v>#REF!</v>
      </c>
      <c r="J854" s="103" t="e">
        <f t="shared" ca="1" si="164"/>
        <v>#REF!</v>
      </c>
      <c r="K854" s="103" t="e">
        <f t="shared" ca="1" si="165"/>
        <v>#REF!</v>
      </c>
      <c r="L854" s="103" t="e">
        <f t="shared" ca="1" si="166"/>
        <v>#REF!</v>
      </c>
      <c r="M854" s="103" t="e">
        <f t="shared" ca="1" si="167"/>
        <v>#REF!</v>
      </c>
      <c r="N854" s="104" t="e">
        <f t="shared" ca="1" si="168"/>
        <v>#REF!</v>
      </c>
    </row>
    <row r="855" spans="1:14">
      <c r="A855" s="95">
        <v>817</v>
      </c>
      <c r="B855" s="102" t="e">
        <f t="shared" ca="1" si="156"/>
        <v>#REF!</v>
      </c>
      <c r="C855" s="102" t="e">
        <f t="shared" ca="1" si="157"/>
        <v>#REF!</v>
      </c>
      <c r="D855" s="102" t="e">
        <f t="shared" ca="1" si="158"/>
        <v>#REF!</v>
      </c>
      <c r="E855" s="102" t="e">
        <f t="shared" ca="1" si="159"/>
        <v>#REF!</v>
      </c>
      <c r="F855" s="102" t="e">
        <f t="shared" ca="1" si="160"/>
        <v>#REF!</v>
      </c>
      <c r="G855" s="103">
        <f t="shared" ca="1" si="161"/>
        <v>0.45599133078664195</v>
      </c>
      <c r="H855" s="103">
        <f t="shared" ca="1" si="162"/>
        <v>0.18517787668065036</v>
      </c>
      <c r="I855" s="103" t="e">
        <f t="shared" ca="1" si="163"/>
        <v>#REF!</v>
      </c>
      <c r="J855" s="103" t="e">
        <f t="shared" ca="1" si="164"/>
        <v>#REF!</v>
      </c>
      <c r="K855" s="103" t="e">
        <f t="shared" ca="1" si="165"/>
        <v>#REF!</v>
      </c>
      <c r="L855" s="103" t="e">
        <f t="shared" ca="1" si="166"/>
        <v>#REF!</v>
      </c>
      <c r="M855" s="103" t="e">
        <f t="shared" ca="1" si="167"/>
        <v>#REF!</v>
      </c>
      <c r="N855" s="104" t="e">
        <f t="shared" ca="1" si="168"/>
        <v>#REF!</v>
      </c>
    </row>
    <row r="856" spans="1:14">
      <c r="A856" s="96">
        <v>818</v>
      </c>
      <c r="B856" s="102" t="e">
        <f t="shared" ca="1" si="156"/>
        <v>#REF!</v>
      </c>
      <c r="C856" s="102" t="e">
        <f t="shared" ca="1" si="157"/>
        <v>#REF!</v>
      </c>
      <c r="D856" s="102" t="e">
        <f t="shared" ca="1" si="158"/>
        <v>#REF!</v>
      </c>
      <c r="E856" s="102" t="e">
        <f t="shared" ca="1" si="159"/>
        <v>#REF!</v>
      </c>
      <c r="F856" s="102" t="e">
        <f t="shared" ca="1" si="160"/>
        <v>#REF!</v>
      </c>
      <c r="G856" s="103">
        <f t="shared" ca="1" si="161"/>
        <v>0.43074583804399535</v>
      </c>
      <c r="H856" s="103">
        <f t="shared" ca="1" si="162"/>
        <v>0.21261827555937343</v>
      </c>
      <c r="I856" s="103" t="e">
        <f t="shared" ca="1" si="163"/>
        <v>#REF!</v>
      </c>
      <c r="J856" s="103" t="e">
        <f t="shared" ca="1" si="164"/>
        <v>#REF!</v>
      </c>
      <c r="K856" s="103" t="e">
        <f t="shared" ca="1" si="165"/>
        <v>#REF!</v>
      </c>
      <c r="L856" s="103" t="e">
        <f t="shared" ca="1" si="166"/>
        <v>#REF!</v>
      </c>
      <c r="M856" s="103" t="e">
        <f t="shared" ca="1" si="167"/>
        <v>#REF!</v>
      </c>
      <c r="N856" s="104" t="e">
        <f t="shared" ca="1" si="168"/>
        <v>#REF!</v>
      </c>
    </row>
    <row r="857" spans="1:14">
      <c r="A857" s="95">
        <v>819</v>
      </c>
      <c r="B857" s="102" t="e">
        <f t="shared" ca="1" si="156"/>
        <v>#REF!</v>
      </c>
      <c r="C857" s="102" t="e">
        <f t="shared" ca="1" si="157"/>
        <v>#REF!</v>
      </c>
      <c r="D857" s="102" t="e">
        <f t="shared" ca="1" si="158"/>
        <v>#REF!</v>
      </c>
      <c r="E857" s="102" t="e">
        <f t="shared" ca="1" si="159"/>
        <v>#REF!</v>
      </c>
      <c r="F857" s="102" t="e">
        <f t="shared" ca="1" si="160"/>
        <v>#REF!</v>
      </c>
      <c r="G857" s="103">
        <f t="shared" ca="1" si="161"/>
        <v>0.45395612970539367</v>
      </c>
      <c r="H857" s="103">
        <f t="shared" ca="1" si="162"/>
        <v>0.20678791371798066</v>
      </c>
      <c r="I857" s="103" t="e">
        <f t="shared" ca="1" si="163"/>
        <v>#REF!</v>
      </c>
      <c r="J857" s="103" t="e">
        <f t="shared" ca="1" si="164"/>
        <v>#REF!</v>
      </c>
      <c r="K857" s="103" t="e">
        <f t="shared" ca="1" si="165"/>
        <v>#REF!</v>
      </c>
      <c r="L857" s="103" t="e">
        <f t="shared" ca="1" si="166"/>
        <v>#REF!</v>
      </c>
      <c r="M857" s="103" t="e">
        <f t="shared" ca="1" si="167"/>
        <v>#REF!</v>
      </c>
      <c r="N857" s="104" t="e">
        <f t="shared" ca="1" si="168"/>
        <v>#REF!</v>
      </c>
    </row>
    <row r="858" spans="1:14">
      <c r="A858" s="96">
        <v>820</v>
      </c>
      <c r="B858" s="102" t="e">
        <f t="shared" ca="1" si="156"/>
        <v>#REF!</v>
      </c>
      <c r="C858" s="102" t="e">
        <f t="shared" ca="1" si="157"/>
        <v>#REF!</v>
      </c>
      <c r="D858" s="102" t="e">
        <f t="shared" ca="1" si="158"/>
        <v>#REF!</v>
      </c>
      <c r="E858" s="102" t="e">
        <f t="shared" ca="1" si="159"/>
        <v>#REF!</v>
      </c>
      <c r="F858" s="102" t="e">
        <f t="shared" ca="1" si="160"/>
        <v>#REF!</v>
      </c>
      <c r="G858" s="103">
        <f t="shared" ca="1" si="161"/>
        <v>0.41677009439392287</v>
      </c>
      <c r="H858" s="103">
        <f t="shared" ca="1" si="162"/>
        <v>0.19778269088990957</v>
      </c>
      <c r="I858" s="103" t="e">
        <f t="shared" ca="1" si="163"/>
        <v>#REF!</v>
      </c>
      <c r="J858" s="103" t="e">
        <f t="shared" ca="1" si="164"/>
        <v>#REF!</v>
      </c>
      <c r="K858" s="103" t="e">
        <f t="shared" ca="1" si="165"/>
        <v>#REF!</v>
      </c>
      <c r="L858" s="103" t="e">
        <f t="shared" ca="1" si="166"/>
        <v>#REF!</v>
      </c>
      <c r="M858" s="103" t="e">
        <f t="shared" ca="1" si="167"/>
        <v>#REF!</v>
      </c>
      <c r="N858" s="104" t="e">
        <f t="shared" ca="1" si="168"/>
        <v>#REF!</v>
      </c>
    </row>
    <row r="859" spans="1:14">
      <c r="A859" s="95">
        <v>821</v>
      </c>
      <c r="B859" s="102" t="e">
        <f t="shared" ca="1" si="156"/>
        <v>#REF!</v>
      </c>
      <c r="C859" s="102" t="e">
        <f t="shared" ca="1" si="157"/>
        <v>#REF!</v>
      </c>
      <c r="D859" s="102" t="e">
        <f t="shared" ca="1" si="158"/>
        <v>#REF!</v>
      </c>
      <c r="E859" s="102" t="e">
        <f t="shared" ca="1" si="159"/>
        <v>#REF!</v>
      </c>
      <c r="F859" s="102" t="e">
        <f t="shared" ca="1" si="160"/>
        <v>#REF!</v>
      </c>
      <c r="G859" s="103">
        <f t="shared" ca="1" si="161"/>
        <v>0.40365949763023529</v>
      </c>
      <c r="H859" s="103">
        <f t="shared" ca="1" si="162"/>
        <v>0.17951803651994119</v>
      </c>
      <c r="I859" s="103" t="e">
        <f t="shared" ca="1" si="163"/>
        <v>#REF!</v>
      </c>
      <c r="J859" s="103" t="e">
        <f t="shared" ca="1" si="164"/>
        <v>#REF!</v>
      </c>
      <c r="K859" s="103" t="e">
        <f t="shared" ca="1" si="165"/>
        <v>#REF!</v>
      </c>
      <c r="L859" s="103" t="e">
        <f t="shared" ca="1" si="166"/>
        <v>#REF!</v>
      </c>
      <c r="M859" s="103" t="e">
        <f t="shared" ca="1" si="167"/>
        <v>#REF!</v>
      </c>
      <c r="N859" s="104" t="e">
        <f t="shared" ca="1" si="168"/>
        <v>#REF!</v>
      </c>
    </row>
    <row r="860" spans="1:14">
      <c r="A860" s="96">
        <v>822</v>
      </c>
      <c r="B860" s="102" t="e">
        <f t="shared" ca="1" si="156"/>
        <v>#REF!</v>
      </c>
      <c r="C860" s="102" t="e">
        <f t="shared" ca="1" si="157"/>
        <v>#REF!</v>
      </c>
      <c r="D860" s="102" t="e">
        <f t="shared" ca="1" si="158"/>
        <v>#REF!</v>
      </c>
      <c r="E860" s="102" t="e">
        <f t="shared" ca="1" si="159"/>
        <v>#REF!</v>
      </c>
      <c r="F860" s="102" t="e">
        <f t="shared" ca="1" si="160"/>
        <v>#REF!</v>
      </c>
      <c r="G860" s="103">
        <f t="shared" ca="1" si="161"/>
        <v>0.41546180777748098</v>
      </c>
      <c r="H860" s="103">
        <f t="shared" ca="1" si="162"/>
        <v>0.23007737821867358</v>
      </c>
      <c r="I860" s="103" t="e">
        <f t="shared" ca="1" si="163"/>
        <v>#REF!</v>
      </c>
      <c r="J860" s="103" t="e">
        <f t="shared" ca="1" si="164"/>
        <v>#REF!</v>
      </c>
      <c r="K860" s="103" t="e">
        <f t="shared" ca="1" si="165"/>
        <v>#REF!</v>
      </c>
      <c r="L860" s="103" t="e">
        <f t="shared" ca="1" si="166"/>
        <v>#REF!</v>
      </c>
      <c r="M860" s="103" t="e">
        <f t="shared" ca="1" si="167"/>
        <v>#REF!</v>
      </c>
      <c r="N860" s="104" t="e">
        <f t="shared" ca="1" si="168"/>
        <v>#REF!</v>
      </c>
    </row>
    <row r="861" spans="1:14">
      <c r="A861" s="95">
        <v>823</v>
      </c>
      <c r="B861" s="102" t="e">
        <f t="shared" ca="1" si="156"/>
        <v>#REF!</v>
      </c>
      <c r="C861" s="102" t="e">
        <f t="shared" ca="1" si="157"/>
        <v>#REF!</v>
      </c>
      <c r="D861" s="102" t="e">
        <f t="shared" ca="1" si="158"/>
        <v>#REF!</v>
      </c>
      <c r="E861" s="102" t="e">
        <f t="shared" ca="1" si="159"/>
        <v>#REF!</v>
      </c>
      <c r="F861" s="102" t="e">
        <f t="shared" ca="1" si="160"/>
        <v>#REF!</v>
      </c>
      <c r="G861" s="103">
        <f t="shared" ca="1" si="161"/>
        <v>0.44622774019679612</v>
      </c>
      <c r="H861" s="103">
        <f t="shared" ca="1" si="162"/>
        <v>0.20979330617573433</v>
      </c>
      <c r="I861" s="103" t="e">
        <f t="shared" ca="1" si="163"/>
        <v>#REF!</v>
      </c>
      <c r="J861" s="103" t="e">
        <f t="shared" ca="1" si="164"/>
        <v>#REF!</v>
      </c>
      <c r="K861" s="103" t="e">
        <f t="shared" ca="1" si="165"/>
        <v>#REF!</v>
      </c>
      <c r="L861" s="103" t="e">
        <f t="shared" ca="1" si="166"/>
        <v>#REF!</v>
      </c>
      <c r="M861" s="103" t="e">
        <f t="shared" ca="1" si="167"/>
        <v>#REF!</v>
      </c>
      <c r="N861" s="104" t="e">
        <f t="shared" ca="1" si="168"/>
        <v>#REF!</v>
      </c>
    </row>
    <row r="862" spans="1:14">
      <c r="A862" s="96">
        <v>824</v>
      </c>
      <c r="B862" s="102" t="e">
        <f t="shared" ca="1" si="156"/>
        <v>#REF!</v>
      </c>
      <c r="C862" s="102" t="e">
        <f t="shared" ca="1" si="157"/>
        <v>#REF!</v>
      </c>
      <c r="D862" s="102" t="e">
        <f t="shared" ca="1" si="158"/>
        <v>#REF!</v>
      </c>
      <c r="E862" s="102" t="e">
        <f t="shared" ca="1" si="159"/>
        <v>#REF!</v>
      </c>
      <c r="F862" s="102" t="e">
        <f t="shared" ca="1" si="160"/>
        <v>#REF!</v>
      </c>
      <c r="G862" s="103">
        <f t="shared" ca="1" si="161"/>
        <v>0.43667804197530569</v>
      </c>
      <c r="H862" s="103">
        <f t="shared" ca="1" si="162"/>
        <v>0.18768962174060805</v>
      </c>
      <c r="I862" s="103" t="e">
        <f t="shared" ca="1" si="163"/>
        <v>#REF!</v>
      </c>
      <c r="J862" s="103" t="e">
        <f t="shared" ca="1" si="164"/>
        <v>#REF!</v>
      </c>
      <c r="K862" s="103" t="e">
        <f t="shared" ca="1" si="165"/>
        <v>#REF!</v>
      </c>
      <c r="L862" s="103" t="e">
        <f t="shared" ca="1" si="166"/>
        <v>#REF!</v>
      </c>
      <c r="M862" s="103" t="e">
        <f t="shared" ca="1" si="167"/>
        <v>#REF!</v>
      </c>
      <c r="N862" s="104" t="e">
        <f t="shared" ca="1" si="168"/>
        <v>#REF!</v>
      </c>
    </row>
    <row r="863" spans="1:14">
      <c r="A863" s="95">
        <v>825</v>
      </c>
      <c r="B863" s="102" t="e">
        <f t="shared" ca="1" si="156"/>
        <v>#REF!</v>
      </c>
      <c r="C863" s="102" t="e">
        <f t="shared" ca="1" si="157"/>
        <v>#REF!</v>
      </c>
      <c r="D863" s="102" t="e">
        <f t="shared" ca="1" si="158"/>
        <v>#REF!</v>
      </c>
      <c r="E863" s="102" t="e">
        <f t="shared" ca="1" si="159"/>
        <v>#REF!</v>
      </c>
      <c r="F863" s="102" t="e">
        <f t="shared" ca="1" si="160"/>
        <v>#REF!</v>
      </c>
      <c r="G863" s="103">
        <f t="shared" ca="1" si="161"/>
        <v>0.43319762567933845</v>
      </c>
      <c r="H863" s="103">
        <f t="shared" ca="1" si="162"/>
        <v>0.20548935878865457</v>
      </c>
      <c r="I863" s="103" t="e">
        <f t="shared" ca="1" si="163"/>
        <v>#REF!</v>
      </c>
      <c r="J863" s="103" t="e">
        <f t="shared" ca="1" si="164"/>
        <v>#REF!</v>
      </c>
      <c r="K863" s="103" t="e">
        <f t="shared" ca="1" si="165"/>
        <v>#REF!</v>
      </c>
      <c r="L863" s="103" t="e">
        <f t="shared" ca="1" si="166"/>
        <v>#REF!</v>
      </c>
      <c r="M863" s="103" t="e">
        <f t="shared" ca="1" si="167"/>
        <v>#REF!</v>
      </c>
      <c r="N863" s="104" t="e">
        <f t="shared" ca="1" si="168"/>
        <v>#REF!</v>
      </c>
    </row>
    <row r="864" spans="1:14">
      <c r="A864" s="96">
        <v>826</v>
      </c>
      <c r="B864" s="102" t="e">
        <f t="shared" ca="1" si="156"/>
        <v>#REF!</v>
      </c>
      <c r="C864" s="102" t="e">
        <f t="shared" ca="1" si="157"/>
        <v>#REF!</v>
      </c>
      <c r="D864" s="102" t="e">
        <f t="shared" ca="1" si="158"/>
        <v>#REF!</v>
      </c>
      <c r="E864" s="102" t="e">
        <f t="shared" ca="1" si="159"/>
        <v>#REF!</v>
      </c>
      <c r="F864" s="102" t="e">
        <f t="shared" ca="1" si="160"/>
        <v>#REF!</v>
      </c>
      <c r="G864" s="103">
        <f t="shared" ca="1" si="161"/>
        <v>0.43554173052237749</v>
      </c>
      <c r="H864" s="103">
        <f t="shared" ca="1" si="162"/>
        <v>0.23675857758709629</v>
      </c>
      <c r="I864" s="103" t="e">
        <f t="shared" ca="1" si="163"/>
        <v>#REF!</v>
      </c>
      <c r="J864" s="103" t="e">
        <f t="shared" ca="1" si="164"/>
        <v>#REF!</v>
      </c>
      <c r="K864" s="103" t="e">
        <f t="shared" ca="1" si="165"/>
        <v>#REF!</v>
      </c>
      <c r="L864" s="103" t="e">
        <f t="shared" ca="1" si="166"/>
        <v>#REF!</v>
      </c>
      <c r="M864" s="103" t="e">
        <f t="shared" ca="1" si="167"/>
        <v>#REF!</v>
      </c>
      <c r="N864" s="104" t="e">
        <f t="shared" ca="1" si="168"/>
        <v>#REF!</v>
      </c>
    </row>
    <row r="865" spans="1:14">
      <c r="A865" s="95">
        <v>827</v>
      </c>
      <c r="B865" s="102" t="e">
        <f t="shared" ca="1" si="156"/>
        <v>#REF!</v>
      </c>
      <c r="C865" s="102" t="e">
        <f t="shared" ca="1" si="157"/>
        <v>#REF!</v>
      </c>
      <c r="D865" s="102" t="e">
        <f t="shared" ca="1" si="158"/>
        <v>#REF!</v>
      </c>
      <c r="E865" s="102" t="e">
        <f t="shared" ca="1" si="159"/>
        <v>#REF!</v>
      </c>
      <c r="F865" s="102" t="e">
        <f t="shared" ca="1" si="160"/>
        <v>#REF!</v>
      </c>
      <c r="G865" s="103">
        <f t="shared" ca="1" si="161"/>
        <v>0.40270780750126128</v>
      </c>
      <c r="H865" s="103">
        <f t="shared" ca="1" si="162"/>
        <v>0.19345412841111878</v>
      </c>
      <c r="I865" s="103" t="e">
        <f t="shared" ca="1" si="163"/>
        <v>#REF!</v>
      </c>
      <c r="J865" s="103" t="e">
        <f t="shared" ca="1" si="164"/>
        <v>#REF!</v>
      </c>
      <c r="K865" s="103" t="e">
        <f t="shared" ca="1" si="165"/>
        <v>#REF!</v>
      </c>
      <c r="L865" s="103" t="e">
        <f t="shared" ca="1" si="166"/>
        <v>#REF!</v>
      </c>
      <c r="M865" s="103" t="e">
        <f t="shared" ca="1" si="167"/>
        <v>#REF!</v>
      </c>
      <c r="N865" s="104" t="e">
        <f t="shared" ca="1" si="168"/>
        <v>#REF!</v>
      </c>
    </row>
    <row r="866" spans="1:14">
      <c r="A866" s="96">
        <v>828</v>
      </c>
      <c r="B866" s="102" t="e">
        <f t="shared" ca="1" si="156"/>
        <v>#REF!</v>
      </c>
      <c r="C866" s="102" t="e">
        <f t="shared" ca="1" si="157"/>
        <v>#REF!</v>
      </c>
      <c r="D866" s="102" t="e">
        <f t="shared" ca="1" si="158"/>
        <v>#REF!</v>
      </c>
      <c r="E866" s="102" t="e">
        <f t="shared" ca="1" si="159"/>
        <v>#REF!</v>
      </c>
      <c r="F866" s="102" t="e">
        <f t="shared" ca="1" si="160"/>
        <v>#REF!</v>
      </c>
      <c r="G866" s="103">
        <f t="shared" ca="1" si="161"/>
        <v>0.44895421204697211</v>
      </c>
      <c r="H866" s="103">
        <f t="shared" ca="1" si="162"/>
        <v>0.20694641049975679</v>
      </c>
      <c r="I866" s="103" t="e">
        <f t="shared" ca="1" si="163"/>
        <v>#REF!</v>
      </c>
      <c r="J866" s="103" t="e">
        <f t="shared" ca="1" si="164"/>
        <v>#REF!</v>
      </c>
      <c r="K866" s="103" t="e">
        <f t="shared" ca="1" si="165"/>
        <v>#REF!</v>
      </c>
      <c r="L866" s="103" t="e">
        <f t="shared" ca="1" si="166"/>
        <v>#REF!</v>
      </c>
      <c r="M866" s="103" t="e">
        <f t="shared" ca="1" si="167"/>
        <v>#REF!</v>
      </c>
      <c r="N866" s="104" t="e">
        <f t="shared" ca="1" si="168"/>
        <v>#REF!</v>
      </c>
    </row>
    <row r="867" spans="1:14">
      <c r="A867" s="95">
        <v>829</v>
      </c>
      <c r="B867" s="102" t="e">
        <f t="shared" ca="1" si="156"/>
        <v>#REF!</v>
      </c>
      <c r="C867" s="102" t="e">
        <f t="shared" ca="1" si="157"/>
        <v>#REF!</v>
      </c>
      <c r="D867" s="102" t="e">
        <f t="shared" ca="1" si="158"/>
        <v>#REF!</v>
      </c>
      <c r="E867" s="102" t="e">
        <f t="shared" ca="1" si="159"/>
        <v>#REF!</v>
      </c>
      <c r="F867" s="102" t="e">
        <f t="shared" ca="1" si="160"/>
        <v>#REF!</v>
      </c>
      <c r="G867" s="103">
        <f t="shared" ca="1" si="161"/>
        <v>0.4223606934523671</v>
      </c>
      <c r="H867" s="103">
        <f t="shared" ca="1" si="162"/>
        <v>0.18659811355423817</v>
      </c>
      <c r="I867" s="103" t="e">
        <f t="shared" ca="1" si="163"/>
        <v>#REF!</v>
      </c>
      <c r="J867" s="103" t="e">
        <f t="shared" ca="1" si="164"/>
        <v>#REF!</v>
      </c>
      <c r="K867" s="103" t="e">
        <f t="shared" ca="1" si="165"/>
        <v>#REF!</v>
      </c>
      <c r="L867" s="103" t="e">
        <f t="shared" ca="1" si="166"/>
        <v>#REF!</v>
      </c>
      <c r="M867" s="103" t="e">
        <f t="shared" ca="1" si="167"/>
        <v>#REF!</v>
      </c>
      <c r="N867" s="104" t="e">
        <f t="shared" ca="1" si="168"/>
        <v>#REF!</v>
      </c>
    </row>
    <row r="868" spans="1:14">
      <c r="A868" s="96">
        <v>830</v>
      </c>
      <c r="B868" s="102" t="e">
        <f t="shared" ca="1" si="156"/>
        <v>#REF!</v>
      </c>
      <c r="C868" s="102" t="e">
        <f t="shared" ca="1" si="157"/>
        <v>#REF!</v>
      </c>
      <c r="D868" s="102" t="e">
        <f t="shared" ca="1" si="158"/>
        <v>#REF!</v>
      </c>
      <c r="E868" s="102" t="e">
        <f t="shared" ca="1" si="159"/>
        <v>#REF!</v>
      </c>
      <c r="F868" s="102" t="e">
        <f t="shared" ca="1" si="160"/>
        <v>#REF!</v>
      </c>
      <c r="G868" s="103">
        <f t="shared" ca="1" si="161"/>
        <v>0.42573248059451085</v>
      </c>
      <c r="H868" s="103">
        <f t="shared" ca="1" si="162"/>
        <v>0.17792056877662099</v>
      </c>
      <c r="I868" s="103" t="e">
        <f t="shared" ca="1" si="163"/>
        <v>#REF!</v>
      </c>
      <c r="J868" s="103" t="e">
        <f t="shared" ca="1" si="164"/>
        <v>#REF!</v>
      </c>
      <c r="K868" s="103" t="e">
        <f t="shared" ca="1" si="165"/>
        <v>#REF!</v>
      </c>
      <c r="L868" s="103" t="e">
        <f t="shared" ca="1" si="166"/>
        <v>#REF!</v>
      </c>
      <c r="M868" s="103" t="e">
        <f t="shared" ca="1" si="167"/>
        <v>#REF!</v>
      </c>
      <c r="N868" s="104" t="e">
        <f t="shared" ca="1" si="168"/>
        <v>#REF!</v>
      </c>
    </row>
    <row r="869" spans="1:14">
      <c r="A869" s="95">
        <v>831</v>
      </c>
      <c r="B869" s="102" t="e">
        <f t="shared" ca="1" si="156"/>
        <v>#REF!</v>
      </c>
      <c r="C869" s="102" t="e">
        <f t="shared" ca="1" si="157"/>
        <v>#REF!</v>
      </c>
      <c r="D869" s="102" t="e">
        <f t="shared" ca="1" si="158"/>
        <v>#REF!</v>
      </c>
      <c r="E869" s="102" t="e">
        <f t="shared" ca="1" si="159"/>
        <v>#REF!</v>
      </c>
      <c r="F869" s="102" t="e">
        <f t="shared" ca="1" si="160"/>
        <v>#REF!</v>
      </c>
      <c r="G869" s="103">
        <f t="shared" ca="1" si="161"/>
        <v>0.46009210270998174</v>
      </c>
      <c r="H869" s="103">
        <f t="shared" ca="1" si="162"/>
        <v>0.22836744340707618</v>
      </c>
      <c r="I869" s="103" t="e">
        <f t="shared" ca="1" si="163"/>
        <v>#REF!</v>
      </c>
      <c r="J869" s="103" t="e">
        <f t="shared" ca="1" si="164"/>
        <v>#REF!</v>
      </c>
      <c r="K869" s="103" t="e">
        <f t="shared" ca="1" si="165"/>
        <v>#REF!</v>
      </c>
      <c r="L869" s="103" t="e">
        <f t="shared" ca="1" si="166"/>
        <v>#REF!</v>
      </c>
      <c r="M869" s="103" t="e">
        <f t="shared" ca="1" si="167"/>
        <v>#REF!</v>
      </c>
      <c r="N869" s="104" t="e">
        <f t="shared" ca="1" si="168"/>
        <v>#REF!</v>
      </c>
    </row>
    <row r="870" spans="1:14">
      <c r="A870" s="96">
        <v>832</v>
      </c>
      <c r="B870" s="102" t="e">
        <f t="shared" ca="1" si="156"/>
        <v>#REF!</v>
      </c>
      <c r="C870" s="102" t="e">
        <f t="shared" ca="1" si="157"/>
        <v>#REF!</v>
      </c>
      <c r="D870" s="102" t="e">
        <f t="shared" ca="1" si="158"/>
        <v>#REF!</v>
      </c>
      <c r="E870" s="102" t="e">
        <f t="shared" ca="1" si="159"/>
        <v>#REF!</v>
      </c>
      <c r="F870" s="102" t="e">
        <f t="shared" ca="1" si="160"/>
        <v>#REF!</v>
      </c>
      <c r="G870" s="103">
        <f t="shared" ca="1" si="161"/>
        <v>0.4519344356544252</v>
      </c>
      <c r="H870" s="103">
        <f t="shared" ca="1" si="162"/>
        <v>0.20150814056960176</v>
      </c>
      <c r="I870" s="103" t="e">
        <f t="shared" ca="1" si="163"/>
        <v>#REF!</v>
      </c>
      <c r="J870" s="103" t="e">
        <f t="shared" ca="1" si="164"/>
        <v>#REF!</v>
      </c>
      <c r="K870" s="103" t="e">
        <f t="shared" ca="1" si="165"/>
        <v>#REF!</v>
      </c>
      <c r="L870" s="103" t="e">
        <f t="shared" ca="1" si="166"/>
        <v>#REF!</v>
      </c>
      <c r="M870" s="103" t="e">
        <f t="shared" ca="1" si="167"/>
        <v>#REF!</v>
      </c>
      <c r="N870" s="104" t="e">
        <f t="shared" ca="1" si="168"/>
        <v>#REF!</v>
      </c>
    </row>
    <row r="871" spans="1:14">
      <c r="A871" s="95">
        <v>833</v>
      </c>
      <c r="B871" s="102" t="e">
        <f t="shared" ca="1" si="156"/>
        <v>#REF!</v>
      </c>
      <c r="C871" s="102" t="e">
        <f t="shared" ca="1" si="157"/>
        <v>#REF!</v>
      </c>
      <c r="D871" s="102" t="e">
        <f t="shared" ca="1" si="158"/>
        <v>#REF!</v>
      </c>
      <c r="E871" s="102" t="e">
        <f t="shared" ca="1" si="159"/>
        <v>#REF!</v>
      </c>
      <c r="F871" s="102" t="e">
        <f t="shared" ca="1" si="160"/>
        <v>#REF!</v>
      </c>
      <c r="G871" s="103">
        <f t="shared" ca="1" si="161"/>
        <v>0.40338312167608203</v>
      </c>
      <c r="H871" s="103">
        <f t="shared" ca="1" si="162"/>
        <v>0.17837715541783922</v>
      </c>
      <c r="I871" s="103" t="e">
        <f t="shared" ca="1" si="163"/>
        <v>#REF!</v>
      </c>
      <c r="J871" s="103" t="e">
        <f t="shared" ca="1" si="164"/>
        <v>#REF!</v>
      </c>
      <c r="K871" s="103" t="e">
        <f t="shared" ca="1" si="165"/>
        <v>#REF!</v>
      </c>
      <c r="L871" s="103" t="e">
        <f t="shared" ca="1" si="166"/>
        <v>#REF!</v>
      </c>
      <c r="M871" s="103" t="e">
        <f t="shared" ca="1" si="167"/>
        <v>#REF!</v>
      </c>
      <c r="N871" s="104" t="e">
        <f t="shared" ca="1" si="168"/>
        <v>#REF!</v>
      </c>
    </row>
    <row r="872" spans="1:14">
      <c r="A872" s="96">
        <v>834</v>
      </c>
      <c r="B872" s="102" t="e">
        <f t="shared" ref="B872:B935" ca="1" si="169">_xlfn.LOGNORM.INV(RAND(),$D$5,$E$5)</f>
        <v>#REF!</v>
      </c>
      <c r="C872" s="102" t="e">
        <f t="shared" ref="C872:C935" ca="1" si="170">_xlfn.LOGNORM.INV(RAND(),$D$6,$E$6)</f>
        <v>#REF!</v>
      </c>
      <c r="D872" s="102" t="e">
        <f t="shared" ref="D872:D935" ca="1" si="171">_xlfn.LOGNORM.INV(RAND(),$D$7,$E$7)</f>
        <v>#REF!</v>
      </c>
      <c r="E872" s="102" t="e">
        <f t="shared" ref="E872:E935" ca="1" si="172">_xlfn.LOGNORM.INV(RAND(),$D$8,$E$8)</f>
        <v>#REF!</v>
      </c>
      <c r="F872" s="102" t="e">
        <f t="shared" ref="F872:F935" ca="1" si="173">_xlfn.LOGNORM.INV(RAND(),$D$9,$E$9)</f>
        <v>#REF!</v>
      </c>
      <c r="G872" s="103">
        <f t="shared" ref="G872:G935" ca="1" si="174">_xlfn.NORM.INV(RAND(),$B$12,$C$12)</f>
        <v>0.46964428121731205</v>
      </c>
      <c r="H872" s="103">
        <f t="shared" ref="H872:H935" ca="1" si="175">_xlfn.NORM.INV(RAND(),$B$13,$C$13)</f>
        <v>0.16694526159818068</v>
      </c>
      <c r="I872" s="103" t="e">
        <f t="shared" ref="I872:I935" ca="1" si="176">G872*($E$16/24)+H872*(1-$E$16/24)</f>
        <v>#REF!</v>
      </c>
      <c r="J872" s="103" t="e">
        <f t="shared" ref="J872:J935" ca="1" si="177">G872*($E$17/24)+H872*(1-$E$17/24)</f>
        <v>#REF!</v>
      </c>
      <c r="K872" s="103" t="e">
        <f t="shared" ref="K872:K935" ca="1" si="178">G872*($E$18/24)+H872*(1-$E$18/24)</f>
        <v>#REF!</v>
      </c>
      <c r="L872" s="103" t="e">
        <f t="shared" ref="L872:L935" ca="1" si="179">G872*($E$19/24)+H872*(1-$E$19/24)</f>
        <v>#REF!</v>
      </c>
      <c r="M872" s="103" t="e">
        <f t="shared" ref="M872:M935" ca="1" si="180">G872*($E$20/24)+H872*(1-$E$20/24)</f>
        <v>#REF!</v>
      </c>
      <c r="N872" s="104" t="e">
        <f t="shared" ref="N872:N935" ca="1" si="181">B872*$B$16+C872*$B$17+D872*$B$18+E872*$B$19+F872*$B$20-($C$16*$D$16*I872+$C$17*$D$17*J872+$C$18*$D$18*K872+$C$19*$D$19*L872+$C$20*$D$20*M872)</f>
        <v>#REF!</v>
      </c>
    </row>
    <row r="873" spans="1:14">
      <c r="A873" s="95">
        <v>835</v>
      </c>
      <c r="B873" s="102" t="e">
        <f t="shared" ca="1" si="169"/>
        <v>#REF!</v>
      </c>
      <c r="C873" s="102" t="e">
        <f t="shared" ca="1" si="170"/>
        <v>#REF!</v>
      </c>
      <c r="D873" s="102" t="e">
        <f t="shared" ca="1" si="171"/>
        <v>#REF!</v>
      </c>
      <c r="E873" s="102" t="e">
        <f t="shared" ca="1" si="172"/>
        <v>#REF!</v>
      </c>
      <c r="F873" s="102" t="e">
        <f t="shared" ca="1" si="173"/>
        <v>#REF!</v>
      </c>
      <c r="G873" s="103">
        <f t="shared" ca="1" si="174"/>
        <v>0.43800855729314331</v>
      </c>
      <c r="H873" s="103">
        <f t="shared" ca="1" si="175"/>
        <v>0.20334071724748698</v>
      </c>
      <c r="I873" s="103" t="e">
        <f t="shared" ca="1" si="176"/>
        <v>#REF!</v>
      </c>
      <c r="J873" s="103" t="e">
        <f t="shared" ca="1" si="177"/>
        <v>#REF!</v>
      </c>
      <c r="K873" s="103" t="e">
        <f t="shared" ca="1" si="178"/>
        <v>#REF!</v>
      </c>
      <c r="L873" s="103" t="e">
        <f t="shared" ca="1" si="179"/>
        <v>#REF!</v>
      </c>
      <c r="M873" s="103" t="e">
        <f t="shared" ca="1" si="180"/>
        <v>#REF!</v>
      </c>
      <c r="N873" s="104" t="e">
        <f t="shared" ca="1" si="181"/>
        <v>#REF!</v>
      </c>
    </row>
    <row r="874" spans="1:14">
      <c r="A874" s="96">
        <v>836</v>
      </c>
      <c r="B874" s="102" t="e">
        <f t="shared" ca="1" si="169"/>
        <v>#REF!</v>
      </c>
      <c r="C874" s="102" t="e">
        <f t="shared" ca="1" si="170"/>
        <v>#REF!</v>
      </c>
      <c r="D874" s="102" t="e">
        <f t="shared" ca="1" si="171"/>
        <v>#REF!</v>
      </c>
      <c r="E874" s="102" t="e">
        <f t="shared" ca="1" si="172"/>
        <v>#REF!</v>
      </c>
      <c r="F874" s="102" t="e">
        <f t="shared" ca="1" si="173"/>
        <v>#REF!</v>
      </c>
      <c r="G874" s="103">
        <f t="shared" ca="1" si="174"/>
        <v>0.43557382783691928</v>
      </c>
      <c r="H874" s="103">
        <f t="shared" ca="1" si="175"/>
        <v>0.22090584282622808</v>
      </c>
      <c r="I874" s="103" t="e">
        <f t="shared" ca="1" si="176"/>
        <v>#REF!</v>
      </c>
      <c r="J874" s="103" t="e">
        <f t="shared" ca="1" si="177"/>
        <v>#REF!</v>
      </c>
      <c r="K874" s="103" t="e">
        <f t="shared" ca="1" si="178"/>
        <v>#REF!</v>
      </c>
      <c r="L874" s="103" t="e">
        <f t="shared" ca="1" si="179"/>
        <v>#REF!</v>
      </c>
      <c r="M874" s="103" t="e">
        <f t="shared" ca="1" si="180"/>
        <v>#REF!</v>
      </c>
      <c r="N874" s="104" t="e">
        <f t="shared" ca="1" si="181"/>
        <v>#REF!</v>
      </c>
    </row>
    <row r="875" spans="1:14">
      <c r="A875" s="95">
        <v>837</v>
      </c>
      <c r="B875" s="102" t="e">
        <f t="shared" ca="1" si="169"/>
        <v>#REF!</v>
      </c>
      <c r="C875" s="102" t="e">
        <f t="shared" ca="1" si="170"/>
        <v>#REF!</v>
      </c>
      <c r="D875" s="102" t="e">
        <f t="shared" ca="1" si="171"/>
        <v>#REF!</v>
      </c>
      <c r="E875" s="102" t="e">
        <f t="shared" ca="1" si="172"/>
        <v>#REF!</v>
      </c>
      <c r="F875" s="102" t="e">
        <f t="shared" ca="1" si="173"/>
        <v>#REF!</v>
      </c>
      <c r="G875" s="103">
        <f t="shared" ca="1" si="174"/>
        <v>0.41103118995793686</v>
      </c>
      <c r="H875" s="103">
        <f t="shared" ca="1" si="175"/>
        <v>0.18256901501029371</v>
      </c>
      <c r="I875" s="103" t="e">
        <f t="shared" ca="1" si="176"/>
        <v>#REF!</v>
      </c>
      <c r="J875" s="103" t="e">
        <f t="shared" ca="1" si="177"/>
        <v>#REF!</v>
      </c>
      <c r="K875" s="103" t="e">
        <f t="shared" ca="1" si="178"/>
        <v>#REF!</v>
      </c>
      <c r="L875" s="103" t="e">
        <f t="shared" ca="1" si="179"/>
        <v>#REF!</v>
      </c>
      <c r="M875" s="103" t="e">
        <f t="shared" ca="1" si="180"/>
        <v>#REF!</v>
      </c>
      <c r="N875" s="104" t="e">
        <f t="shared" ca="1" si="181"/>
        <v>#REF!</v>
      </c>
    </row>
    <row r="876" spans="1:14">
      <c r="A876" s="96">
        <v>838</v>
      </c>
      <c r="B876" s="102" t="e">
        <f t="shared" ca="1" si="169"/>
        <v>#REF!</v>
      </c>
      <c r="C876" s="102" t="e">
        <f t="shared" ca="1" si="170"/>
        <v>#REF!</v>
      </c>
      <c r="D876" s="102" t="e">
        <f t="shared" ca="1" si="171"/>
        <v>#REF!</v>
      </c>
      <c r="E876" s="102" t="e">
        <f t="shared" ca="1" si="172"/>
        <v>#REF!</v>
      </c>
      <c r="F876" s="102" t="e">
        <f t="shared" ca="1" si="173"/>
        <v>#REF!</v>
      </c>
      <c r="G876" s="103">
        <f t="shared" ca="1" si="174"/>
        <v>0.43841341969944553</v>
      </c>
      <c r="H876" s="103">
        <f t="shared" ca="1" si="175"/>
        <v>0.19624108441470248</v>
      </c>
      <c r="I876" s="103" t="e">
        <f t="shared" ca="1" si="176"/>
        <v>#REF!</v>
      </c>
      <c r="J876" s="103" t="e">
        <f t="shared" ca="1" si="177"/>
        <v>#REF!</v>
      </c>
      <c r="K876" s="103" t="e">
        <f t="shared" ca="1" si="178"/>
        <v>#REF!</v>
      </c>
      <c r="L876" s="103" t="e">
        <f t="shared" ca="1" si="179"/>
        <v>#REF!</v>
      </c>
      <c r="M876" s="103" t="e">
        <f t="shared" ca="1" si="180"/>
        <v>#REF!</v>
      </c>
      <c r="N876" s="104" t="e">
        <f t="shared" ca="1" si="181"/>
        <v>#REF!</v>
      </c>
    </row>
    <row r="877" spans="1:14">
      <c r="A877" s="95">
        <v>839</v>
      </c>
      <c r="B877" s="102" t="e">
        <f t="shared" ca="1" si="169"/>
        <v>#REF!</v>
      </c>
      <c r="C877" s="102" t="e">
        <f t="shared" ca="1" si="170"/>
        <v>#REF!</v>
      </c>
      <c r="D877" s="102" t="e">
        <f t="shared" ca="1" si="171"/>
        <v>#REF!</v>
      </c>
      <c r="E877" s="102" t="e">
        <f t="shared" ca="1" si="172"/>
        <v>#REF!</v>
      </c>
      <c r="F877" s="102" t="e">
        <f t="shared" ca="1" si="173"/>
        <v>#REF!</v>
      </c>
      <c r="G877" s="103">
        <f t="shared" ca="1" si="174"/>
        <v>0.41030005940534997</v>
      </c>
      <c r="H877" s="103">
        <f t="shared" ca="1" si="175"/>
        <v>0.23390972368813515</v>
      </c>
      <c r="I877" s="103" t="e">
        <f t="shared" ca="1" si="176"/>
        <v>#REF!</v>
      </c>
      <c r="J877" s="103" t="e">
        <f t="shared" ca="1" si="177"/>
        <v>#REF!</v>
      </c>
      <c r="K877" s="103" t="e">
        <f t="shared" ca="1" si="178"/>
        <v>#REF!</v>
      </c>
      <c r="L877" s="103" t="e">
        <f t="shared" ca="1" si="179"/>
        <v>#REF!</v>
      </c>
      <c r="M877" s="103" t="e">
        <f t="shared" ca="1" si="180"/>
        <v>#REF!</v>
      </c>
      <c r="N877" s="104" t="e">
        <f t="shared" ca="1" si="181"/>
        <v>#REF!</v>
      </c>
    </row>
    <row r="878" spans="1:14">
      <c r="A878" s="96">
        <v>840</v>
      </c>
      <c r="B878" s="102" t="e">
        <f t="shared" ca="1" si="169"/>
        <v>#REF!</v>
      </c>
      <c r="C878" s="102" t="e">
        <f t="shared" ca="1" si="170"/>
        <v>#REF!</v>
      </c>
      <c r="D878" s="102" t="e">
        <f t="shared" ca="1" si="171"/>
        <v>#REF!</v>
      </c>
      <c r="E878" s="102" t="e">
        <f t="shared" ca="1" si="172"/>
        <v>#REF!</v>
      </c>
      <c r="F878" s="102" t="e">
        <f t="shared" ca="1" si="173"/>
        <v>#REF!</v>
      </c>
      <c r="G878" s="103">
        <f t="shared" ca="1" si="174"/>
        <v>0.45073806852877535</v>
      </c>
      <c r="H878" s="103">
        <f t="shared" ca="1" si="175"/>
        <v>0.1830329916160105</v>
      </c>
      <c r="I878" s="103" t="e">
        <f t="shared" ca="1" si="176"/>
        <v>#REF!</v>
      </c>
      <c r="J878" s="103" t="e">
        <f t="shared" ca="1" si="177"/>
        <v>#REF!</v>
      </c>
      <c r="K878" s="103" t="e">
        <f t="shared" ca="1" si="178"/>
        <v>#REF!</v>
      </c>
      <c r="L878" s="103" t="e">
        <f t="shared" ca="1" si="179"/>
        <v>#REF!</v>
      </c>
      <c r="M878" s="103" t="e">
        <f t="shared" ca="1" si="180"/>
        <v>#REF!</v>
      </c>
      <c r="N878" s="104" t="e">
        <f t="shared" ca="1" si="181"/>
        <v>#REF!</v>
      </c>
    </row>
    <row r="879" spans="1:14">
      <c r="A879" s="95">
        <v>841</v>
      </c>
      <c r="B879" s="102" t="e">
        <f t="shared" ca="1" si="169"/>
        <v>#REF!</v>
      </c>
      <c r="C879" s="102" t="e">
        <f t="shared" ca="1" si="170"/>
        <v>#REF!</v>
      </c>
      <c r="D879" s="102" t="e">
        <f t="shared" ca="1" si="171"/>
        <v>#REF!</v>
      </c>
      <c r="E879" s="102" t="e">
        <f t="shared" ca="1" si="172"/>
        <v>#REF!</v>
      </c>
      <c r="F879" s="102" t="e">
        <f t="shared" ca="1" si="173"/>
        <v>#REF!</v>
      </c>
      <c r="G879" s="103">
        <f t="shared" ca="1" si="174"/>
        <v>0.43648227981053705</v>
      </c>
      <c r="H879" s="103">
        <f t="shared" ca="1" si="175"/>
        <v>0.21179082048699976</v>
      </c>
      <c r="I879" s="103" t="e">
        <f t="shared" ca="1" si="176"/>
        <v>#REF!</v>
      </c>
      <c r="J879" s="103" t="e">
        <f t="shared" ca="1" si="177"/>
        <v>#REF!</v>
      </c>
      <c r="K879" s="103" t="e">
        <f t="shared" ca="1" si="178"/>
        <v>#REF!</v>
      </c>
      <c r="L879" s="103" t="e">
        <f t="shared" ca="1" si="179"/>
        <v>#REF!</v>
      </c>
      <c r="M879" s="103" t="e">
        <f t="shared" ca="1" si="180"/>
        <v>#REF!</v>
      </c>
      <c r="N879" s="104" t="e">
        <f t="shared" ca="1" si="181"/>
        <v>#REF!</v>
      </c>
    </row>
    <row r="880" spans="1:14">
      <c r="A880" s="96">
        <v>842</v>
      </c>
      <c r="B880" s="102" t="e">
        <f t="shared" ca="1" si="169"/>
        <v>#REF!</v>
      </c>
      <c r="C880" s="102" t="e">
        <f t="shared" ca="1" si="170"/>
        <v>#REF!</v>
      </c>
      <c r="D880" s="102" t="e">
        <f t="shared" ca="1" si="171"/>
        <v>#REF!</v>
      </c>
      <c r="E880" s="102" t="e">
        <f t="shared" ca="1" si="172"/>
        <v>#REF!</v>
      </c>
      <c r="F880" s="102" t="e">
        <f t="shared" ca="1" si="173"/>
        <v>#REF!</v>
      </c>
      <c r="G880" s="103">
        <f t="shared" ca="1" si="174"/>
        <v>0.42259982070765562</v>
      </c>
      <c r="H880" s="103">
        <f t="shared" ca="1" si="175"/>
        <v>0.20429759644762382</v>
      </c>
      <c r="I880" s="103" t="e">
        <f t="shared" ca="1" si="176"/>
        <v>#REF!</v>
      </c>
      <c r="J880" s="103" t="e">
        <f t="shared" ca="1" si="177"/>
        <v>#REF!</v>
      </c>
      <c r="K880" s="103" t="e">
        <f t="shared" ca="1" si="178"/>
        <v>#REF!</v>
      </c>
      <c r="L880" s="103" t="e">
        <f t="shared" ca="1" si="179"/>
        <v>#REF!</v>
      </c>
      <c r="M880" s="103" t="e">
        <f t="shared" ca="1" si="180"/>
        <v>#REF!</v>
      </c>
      <c r="N880" s="104" t="e">
        <f t="shared" ca="1" si="181"/>
        <v>#REF!</v>
      </c>
    </row>
    <row r="881" spans="1:14">
      <c r="A881" s="95">
        <v>843</v>
      </c>
      <c r="B881" s="102" t="e">
        <f t="shared" ca="1" si="169"/>
        <v>#REF!</v>
      </c>
      <c r="C881" s="102" t="e">
        <f t="shared" ca="1" si="170"/>
        <v>#REF!</v>
      </c>
      <c r="D881" s="102" t="e">
        <f t="shared" ca="1" si="171"/>
        <v>#REF!</v>
      </c>
      <c r="E881" s="102" t="e">
        <f t="shared" ca="1" si="172"/>
        <v>#REF!</v>
      </c>
      <c r="F881" s="102" t="e">
        <f t="shared" ca="1" si="173"/>
        <v>#REF!</v>
      </c>
      <c r="G881" s="103">
        <f t="shared" ca="1" si="174"/>
        <v>0.40086718888001782</v>
      </c>
      <c r="H881" s="103">
        <f t="shared" ca="1" si="175"/>
        <v>0.19183512710302195</v>
      </c>
      <c r="I881" s="103" t="e">
        <f t="shared" ca="1" si="176"/>
        <v>#REF!</v>
      </c>
      <c r="J881" s="103" t="e">
        <f t="shared" ca="1" si="177"/>
        <v>#REF!</v>
      </c>
      <c r="K881" s="103" t="e">
        <f t="shared" ca="1" si="178"/>
        <v>#REF!</v>
      </c>
      <c r="L881" s="103" t="e">
        <f t="shared" ca="1" si="179"/>
        <v>#REF!</v>
      </c>
      <c r="M881" s="103" t="e">
        <f t="shared" ca="1" si="180"/>
        <v>#REF!</v>
      </c>
      <c r="N881" s="104" t="e">
        <f t="shared" ca="1" si="181"/>
        <v>#REF!</v>
      </c>
    </row>
    <row r="882" spans="1:14">
      <c r="A882" s="96">
        <v>844</v>
      </c>
      <c r="B882" s="102" t="e">
        <f t="shared" ca="1" si="169"/>
        <v>#REF!</v>
      </c>
      <c r="C882" s="102" t="e">
        <f t="shared" ca="1" si="170"/>
        <v>#REF!</v>
      </c>
      <c r="D882" s="102" t="e">
        <f t="shared" ca="1" si="171"/>
        <v>#REF!</v>
      </c>
      <c r="E882" s="102" t="e">
        <f t="shared" ca="1" si="172"/>
        <v>#REF!</v>
      </c>
      <c r="F882" s="102" t="e">
        <f t="shared" ca="1" si="173"/>
        <v>#REF!</v>
      </c>
      <c r="G882" s="103">
        <f t="shared" ca="1" si="174"/>
        <v>0.43195717832553532</v>
      </c>
      <c r="H882" s="103">
        <f t="shared" ca="1" si="175"/>
        <v>0.19865624737278836</v>
      </c>
      <c r="I882" s="103" t="e">
        <f t="shared" ca="1" si="176"/>
        <v>#REF!</v>
      </c>
      <c r="J882" s="103" t="e">
        <f t="shared" ca="1" si="177"/>
        <v>#REF!</v>
      </c>
      <c r="K882" s="103" t="e">
        <f t="shared" ca="1" si="178"/>
        <v>#REF!</v>
      </c>
      <c r="L882" s="103" t="e">
        <f t="shared" ca="1" si="179"/>
        <v>#REF!</v>
      </c>
      <c r="M882" s="103" t="e">
        <f t="shared" ca="1" si="180"/>
        <v>#REF!</v>
      </c>
      <c r="N882" s="104" t="e">
        <f t="shared" ca="1" si="181"/>
        <v>#REF!</v>
      </c>
    </row>
    <row r="883" spans="1:14">
      <c r="A883" s="95">
        <v>845</v>
      </c>
      <c r="B883" s="102" t="e">
        <f t="shared" ca="1" si="169"/>
        <v>#REF!</v>
      </c>
      <c r="C883" s="102" t="e">
        <f t="shared" ca="1" si="170"/>
        <v>#REF!</v>
      </c>
      <c r="D883" s="102" t="e">
        <f t="shared" ca="1" si="171"/>
        <v>#REF!</v>
      </c>
      <c r="E883" s="102" t="e">
        <f t="shared" ca="1" si="172"/>
        <v>#REF!</v>
      </c>
      <c r="F883" s="102" t="e">
        <f t="shared" ca="1" si="173"/>
        <v>#REF!</v>
      </c>
      <c r="G883" s="103">
        <f t="shared" ca="1" si="174"/>
        <v>0.42781745885124772</v>
      </c>
      <c r="H883" s="103">
        <f t="shared" ca="1" si="175"/>
        <v>0.22638238694723456</v>
      </c>
      <c r="I883" s="103" t="e">
        <f t="shared" ca="1" si="176"/>
        <v>#REF!</v>
      </c>
      <c r="J883" s="103" t="e">
        <f t="shared" ca="1" si="177"/>
        <v>#REF!</v>
      </c>
      <c r="K883" s="103" t="e">
        <f t="shared" ca="1" si="178"/>
        <v>#REF!</v>
      </c>
      <c r="L883" s="103" t="e">
        <f t="shared" ca="1" si="179"/>
        <v>#REF!</v>
      </c>
      <c r="M883" s="103" t="e">
        <f t="shared" ca="1" si="180"/>
        <v>#REF!</v>
      </c>
      <c r="N883" s="104" t="e">
        <f t="shared" ca="1" si="181"/>
        <v>#REF!</v>
      </c>
    </row>
    <row r="884" spans="1:14">
      <c r="A884" s="96">
        <v>846</v>
      </c>
      <c r="B884" s="102" t="e">
        <f t="shared" ca="1" si="169"/>
        <v>#REF!</v>
      </c>
      <c r="C884" s="102" t="e">
        <f t="shared" ca="1" si="170"/>
        <v>#REF!</v>
      </c>
      <c r="D884" s="102" t="e">
        <f t="shared" ca="1" si="171"/>
        <v>#REF!</v>
      </c>
      <c r="E884" s="102" t="e">
        <f t="shared" ca="1" si="172"/>
        <v>#REF!</v>
      </c>
      <c r="F884" s="102" t="e">
        <f t="shared" ca="1" si="173"/>
        <v>#REF!</v>
      </c>
      <c r="G884" s="103">
        <f t="shared" ca="1" si="174"/>
        <v>0.44755761046683618</v>
      </c>
      <c r="H884" s="103">
        <f t="shared" ca="1" si="175"/>
        <v>0.20538462302751201</v>
      </c>
      <c r="I884" s="103" t="e">
        <f t="shared" ca="1" si="176"/>
        <v>#REF!</v>
      </c>
      <c r="J884" s="103" t="e">
        <f t="shared" ca="1" si="177"/>
        <v>#REF!</v>
      </c>
      <c r="K884" s="103" t="e">
        <f t="shared" ca="1" si="178"/>
        <v>#REF!</v>
      </c>
      <c r="L884" s="103" t="e">
        <f t="shared" ca="1" si="179"/>
        <v>#REF!</v>
      </c>
      <c r="M884" s="103" t="e">
        <f t="shared" ca="1" si="180"/>
        <v>#REF!</v>
      </c>
      <c r="N884" s="104" t="e">
        <f t="shared" ca="1" si="181"/>
        <v>#REF!</v>
      </c>
    </row>
    <row r="885" spans="1:14">
      <c r="A885" s="95">
        <v>847</v>
      </c>
      <c r="B885" s="102" t="e">
        <f t="shared" ca="1" si="169"/>
        <v>#REF!</v>
      </c>
      <c r="C885" s="102" t="e">
        <f t="shared" ca="1" si="170"/>
        <v>#REF!</v>
      </c>
      <c r="D885" s="102" t="e">
        <f t="shared" ca="1" si="171"/>
        <v>#REF!</v>
      </c>
      <c r="E885" s="102" t="e">
        <f t="shared" ca="1" si="172"/>
        <v>#REF!</v>
      </c>
      <c r="F885" s="102" t="e">
        <f t="shared" ca="1" si="173"/>
        <v>#REF!</v>
      </c>
      <c r="G885" s="103">
        <f t="shared" ca="1" si="174"/>
        <v>0.45936589006652112</v>
      </c>
      <c r="H885" s="103">
        <f t="shared" ca="1" si="175"/>
        <v>0.19644729543549366</v>
      </c>
      <c r="I885" s="103" t="e">
        <f t="shared" ca="1" si="176"/>
        <v>#REF!</v>
      </c>
      <c r="J885" s="103" t="e">
        <f t="shared" ca="1" si="177"/>
        <v>#REF!</v>
      </c>
      <c r="K885" s="103" t="e">
        <f t="shared" ca="1" si="178"/>
        <v>#REF!</v>
      </c>
      <c r="L885" s="103" t="e">
        <f t="shared" ca="1" si="179"/>
        <v>#REF!</v>
      </c>
      <c r="M885" s="103" t="e">
        <f t="shared" ca="1" si="180"/>
        <v>#REF!</v>
      </c>
      <c r="N885" s="104" t="e">
        <f t="shared" ca="1" si="181"/>
        <v>#REF!</v>
      </c>
    </row>
    <row r="886" spans="1:14">
      <c r="A886" s="96">
        <v>848</v>
      </c>
      <c r="B886" s="102" t="e">
        <f t="shared" ca="1" si="169"/>
        <v>#REF!</v>
      </c>
      <c r="C886" s="102" t="e">
        <f t="shared" ca="1" si="170"/>
        <v>#REF!</v>
      </c>
      <c r="D886" s="102" t="e">
        <f t="shared" ca="1" si="171"/>
        <v>#REF!</v>
      </c>
      <c r="E886" s="102" t="e">
        <f t="shared" ca="1" si="172"/>
        <v>#REF!</v>
      </c>
      <c r="F886" s="102" t="e">
        <f t="shared" ca="1" si="173"/>
        <v>#REF!</v>
      </c>
      <c r="G886" s="103">
        <f t="shared" ca="1" si="174"/>
        <v>0.42809917600141473</v>
      </c>
      <c r="H886" s="103">
        <f t="shared" ca="1" si="175"/>
        <v>0.2063834773992598</v>
      </c>
      <c r="I886" s="103" t="e">
        <f t="shared" ca="1" si="176"/>
        <v>#REF!</v>
      </c>
      <c r="J886" s="103" t="e">
        <f t="shared" ca="1" si="177"/>
        <v>#REF!</v>
      </c>
      <c r="K886" s="103" t="e">
        <f t="shared" ca="1" si="178"/>
        <v>#REF!</v>
      </c>
      <c r="L886" s="103" t="e">
        <f t="shared" ca="1" si="179"/>
        <v>#REF!</v>
      </c>
      <c r="M886" s="103" t="e">
        <f t="shared" ca="1" si="180"/>
        <v>#REF!</v>
      </c>
      <c r="N886" s="104" t="e">
        <f t="shared" ca="1" si="181"/>
        <v>#REF!</v>
      </c>
    </row>
    <row r="887" spans="1:14">
      <c r="A887" s="95">
        <v>849</v>
      </c>
      <c r="B887" s="102" t="e">
        <f t="shared" ca="1" si="169"/>
        <v>#REF!</v>
      </c>
      <c r="C887" s="102" t="e">
        <f t="shared" ca="1" si="170"/>
        <v>#REF!</v>
      </c>
      <c r="D887" s="102" t="e">
        <f t="shared" ca="1" si="171"/>
        <v>#REF!</v>
      </c>
      <c r="E887" s="102" t="e">
        <f t="shared" ca="1" si="172"/>
        <v>#REF!</v>
      </c>
      <c r="F887" s="102" t="e">
        <f t="shared" ca="1" si="173"/>
        <v>#REF!</v>
      </c>
      <c r="G887" s="103">
        <f t="shared" ca="1" si="174"/>
        <v>0.44794335675760899</v>
      </c>
      <c r="H887" s="103">
        <f t="shared" ca="1" si="175"/>
        <v>0.20550286538152121</v>
      </c>
      <c r="I887" s="103" t="e">
        <f t="shared" ca="1" si="176"/>
        <v>#REF!</v>
      </c>
      <c r="J887" s="103" t="e">
        <f t="shared" ca="1" si="177"/>
        <v>#REF!</v>
      </c>
      <c r="K887" s="103" t="e">
        <f t="shared" ca="1" si="178"/>
        <v>#REF!</v>
      </c>
      <c r="L887" s="103" t="e">
        <f t="shared" ca="1" si="179"/>
        <v>#REF!</v>
      </c>
      <c r="M887" s="103" t="e">
        <f t="shared" ca="1" si="180"/>
        <v>#REF!</v>
      </c>
      <c r="N887" s="104" t="e">
        <f t="shared" ca="1" si="181"/>
        <v>#REF!</v>
      </c>
    </row>
    <row r="888" spans="1:14">
      <c r="A888" s="96">
        <v>850</v>
      </c>
      <c r="B888" s="102" t="e">
        <f t="shared" ca="1" si="169"/>
        <v>#REF!</v>
      </c>
      <c r="C888" s="102" t="e">
        <f t="shared" ca="1" si="170"/>
        <v>#REF!</v>
      </c>
      <c r="D888" s="102" t="e">
        <f t="shared" ca="1" si="171"/>
        <v>#REF!</v>
      </c>
      <c r="E888" s="102" t="e">
        <f t="shared" ca="1" si="172"/>
        <v>#REF!</v>
      </c>
      <c r="F888" s="102" t="e">
        <f t="shared" ca="1" si="173"/>
        <v>#REF!</v>
      </c>
      <c r="G888" s="103">
        <f t="shared" ca="1" si="174"/>
        <v>0.41501740272458193</v>
      </c>
      <c r="H888" s="103">
        <f t="shared" ca="1" si="175"/>
        <v>0.17846772366466132</v>
      </c>
      <c r="I888" s="103" t="e">
        <f t="shared" ca="1" si="176"/>
        <v>#REF!</v>
      </c>
      <c r="J888" s="103" t="e">
        <f t="shared" ca="1" si="177"/>
        <v>#REF!</v>
      </c>
      <c r="K888" s="103" t="e">
        <f t="shared" ca="1" si="178"/>
        <v>#REF!</v>
      </c>
      <c r="L888" s="103" t="e">
        <f t="shared" ca="1" si="179"/>
        <v>#REF!</v>
      </c>
      <c r="M888" s="103" t="e">
        <f t="shared" ca="1" si="180"/>
        <v>#REF!</v>
      </c>
      <c r="N888" s="104" t="e">
        <f t="shared" ca="1" si="181"/>
        <v>#REF!</v>
      </c>
    </row>
    <row r="889" spans="1:14">
      <c r="A889" s="95">
        <v>851</v>
      </c>
      <c r="B889" s="102" t="e">
        <f t="shared" ca="1" si="169"/>
        <v>#REF!</v>
      </c>
      <c r="C889" s="102" t="e">
        <f t="shared" ca="1" si="170"/>
        <v>#REF!</v>
      </c>
      <c r="D889" s="102" t="e">
        <f t="shared" ca="1" si="171"/>
        <v>#REF!</v>
      </c>
      <c r="E889" s="102" t="e">
        <f t="shared" ca="1" si="172"/>
        <v>#REF!</v>
      </c>
      <c r="F889" s="102" t="e">
        <f t="shared" ca="1" si="173"/>
        <v>#REF!</v>
      </c>
      <c r="G889" s="103">
        <f t="shared" ca="1" si="174"/>
        <v>0.45107719658005851</v>
      </c>
      <c r="H889" s="103">
        <f t="shared" ca="1" si="175"/>
        <v>0.2151038337390701</v>
      </c>
      <c r="I889" s="103" t="e">
        <f t="shared" ca="1" si="176"/>
        <v>#REF!</v>
      </c>
      <c r="J889" s="103" t="e">
        <f t="shared" ca="1" si="177"/>
        <v>#REF!</v>
      </c>
      <c r="K889" s="103" t="e">
        <f t="shared" ca="1" si="178"/>
        <v>#REF!</v>
      </c>
      <c r="L889" s="103" t="e">
        <f t="shared" ca="1" si="179"/>
        <v>#REF!</v>
      </c>
      <c r="M889" s="103" t="e">
        <f t="shared" ca="1" si="180"/>
        <v>#REF!</v>
      </c>
      <c r="N889" s="104" t="e">
        <f t="shared" ca="1" si="181"/>
        <v>#REF!</v>
      </c>
    </row>
    <row r="890" spans="1:14">
      <c r="A890" s="96">
        <v>852</v>
      </c>
      <c r="B890" s="102" t="e">
        <f t="shared" ca="1" si="169"/>
        <v>#REF!</v>
      </c>
      <c r="C890" s="102" t="e">
        <f t="shared" ca="1" si="170"/>
        <v>#REF!</v>
      </c>
      <c r="D890" s="102" t="e">
        <f t="shared" ca="1" si="171"/>
        <v>#REF!</v>
      </c>
      <c r="E890" s="102" t="e">
        <f t="shared" ca="1" si="172"/>
        <v>#REF!</v>
      </c>
      <c r="F890" s="102" t="e">
        <f t="shared" ca="1" si="173"/>
        <v>#REF!</v>
      </c>
      <c r="G890" s="103">
        <f t="shared" ca="1" si="174"/>
        <v>0.39383524524320002</v>
      </c>
      <c r="H890" s="103">
        <f t="shared" ca="1" si="175"/>
        <v>0.20952251781314249</v>
      </c>
      <c r="I890" s="103" t="e">
        <f t="shared" ca="1" si="176"/>
        <v>#REF!</v>
      </c>
      <c r="J890" s="103" t="e">
        <f t="shared" ca="1" si="177"/>
        <v>#REF!</v>
      </c>
      <c r="K890" s="103" t="e">
        <f t="shared" ca="1" si="178"/>
        <v>#REF!</v>
      </c>
      <c r="L890" s="103" t="e">
        <f t="shared" ca="1" si="179"/>
        <v>#REF!</v>
      </c>
      <c r="M890" s="103" t="e">
        <f t="shared" ca="1" si="180"/>
        <v>#REF!</v>
      </c>
      <c r="N890" s="104" t="e">
        <f t="shared" ca="1" si="181"/>
        <v>#REF!</v>
      </c>
    </row>
    <row r="891" spans="1:14">
      <c r="A891" s="95">
        <v>853</v>
      </c>
      <c r="B891" s="102" t="e">
        <f t="shared" ca="1" si="169"/>
        <v>#REF!</v>
      </c>
      <c r="C891" s="102" t="e">
        <f t="shared" ca="1" si="170"/>
        <v>#REF!</v>
      </c>
      <c r="D891" s="102" t="e">
        <f t="shared" ca="1" si="171"/>
        <v>#REF!</v>
      </c>
      <c r="E891" s="102" t="e">
        <f t="shared" ca="1" si="172"/>
        <v>#REF!</v>
      </c>
      <c r="F891" s="102" t="e">
        <f t="shared" ca="1" si="173"/>
        <v>#REF!</v>
      </c>
      <c r="G891" s="103">
        <f t="shared" ca="1" si="174"/>
        <v>0.47861308832268745</v>
      </c>
      <c r="H891" s="103">
        <f t="shared" ca="1" si="175"/>
        <v>0.18902276157105183</v>
      </c>
      <c r="I891" s="103" t="e">
        <f t="shared" ca="1" si="176"/>
        <v>#REF!</v>
      </c>
      <c r="J891" s="103" t="e">
        <f t="shared" ca="1" si="177"/>
        <v>#REF!</v>
      </c>
      <c r="K891" s="103" t="e">
        <f t="shared" ca="1" si="178"/>
        <v>#REF!</v>
      </c>
      <c r="L891" s="103" t="e">
        <f t="shared" ca="1" si="179"/>
        <v>#REF!</v>
      </c>
      <c r="M891" s="103" t="e">
        <f t="shared" ca="1" si="180"/>
        <v>#REF!</v>
      </c>
      <c r="N891" s="104" t="e">
        <f t="shared" ca="1" si="181"/>
        <v>#REF!</v>
      </c>
    </row>
    <row r="892" spans="1:14">
      <c r="A892" s="96">
        <v>854</v>
      </c>
      <c r="B892" s="102" t="e">
        <f t="shared" ca="1" si="169"/>
        <v>#REF!</v>
      </c>
      <c r="C892" s="102" t="e">
        <f t="shared" ca="1" si="170"/>
        <v>#REF!</v>
      </c>
      <c r="D892" s="102" t="e">
        <f t="shared" ca="1" si="171"/>
        <v>#REF!</v>
      </c>
      <c r="E892" s="102" t="e">
        <f t="shared" ca="1" si="172"/>
        <v>#REF!</v>
      </c>
      <c r="F892" s="102" t="e">
        <f t="shared" ca="1" si="173"/>
        <v>#REF!</v>
      </c>
      <c r="G892" s="103">
        <f t="shared" ca="1" si="174"/>
        <v>0.42737570449731727</v>
      </c>
      <c r="H892" s="103">
        <f t="shared" ca="1" si="175"/>
        <v>0.18286515656671795</v>
      </c>
      <c r="I892" s="103" t="e">
        <f t="shared" ca="1" si="176"/>
        <v>#REF!</v>
      </c>
      <c r="J892" s="103" t="e">
        <f t="shared" ca="1" si="177"/>
        <v>#REF!</v>
      </c>
      <c r="K892" s="103" t="e">
        <f t="shared" ca="1" si="178"/>
        <v>#REF!</v>
      </c>
      <c r="L892" s="103" t="e">
        <f t="shared" ca="1" si="179"/>
        <v>#REF!</v>
      </c>
      <c r="M892" s="103" t="e">
        <f t="shared" ca="1" si="180"/>
        <v>#REF!</v>
      </c>
      <c r="N892" s="104" t="e">
        <f t="shared" ca="1" si="181"/>
        <v>#REF!</v>
      </c>
    </row>
    <row r="893" spans="1:14">
      <c r="A893" s="95">
        <v>855</v>
      </c>
      <c r="B893" s="102" t="e">
        <f t="shared" ca="1" si="169"/>
        <v>#REF!</v>
      </c>
      <c r="C893" s="102" t="e">
        <f t="shared" ca="1" si="170"/>
        <v>#REF!</v>
      </c>
      <c r="D893" s="102" t="e">
        <f t="shared" ca="1" si="171"/>
        <v>#REF!</v>
      </c>
      <c r="E893" s="102" t="e">
        <f t="shared" ca="1" si="172"/>
        <v>#REF!</v>
      </c>
      <c r="F893" s="102" t="e">
        <f t="shared" ca="1" si="173"/>
        <v>#REF!</v>
      </c>
      <c r="G893" s="103">
        <f t="shared" ca="1" si="174"/>
        <v>0.43625968506028623</v>
      </c>
      <c r="H893" s="103">
        <f t="shared" ca="1" si="175"/>
        <v>0.17560473698328533</v>
      </c>
      <c r="I893" s="103" t="e">
        <f t="shared" ca="1" si="176"/>
        <v>#REF!</v>
      </c>
      <c r="J893" s="103" t="e">
        <f t="shared" ca="1" si="177"/>
        <v>#REF!</v>
      </c>
      <c r="K893" s="103" t="e">
        <f t="shared" ca="1" si="178"/>
        <v>#REF!</v>
      </c>
      <c r="L893" s="103" t="e">
        <f t="shared" ca="1" si="179"/>
        <v>#REF!</v>
      </c>
      <c r="M893" s="103" t="e">
        <f t="shared" ca="1" si="180"/>
        <v>#REF!</v>
      </c>
      <c r="N893" s="104" t="e">
        <f t="shared" ca="1" si="181"/>
        <v>#REF!</v>
      </c>
    </row>
    <row r="894" spans="1:14">
      <c r="A894" s="96">
        <v>856</v>
      </c>
      <c r="B894" s="102" t="e">
        <f t="shared" ca="1" si="169"/>
        <v>#REF!</v>
      </c>
      <c r="C894" s="102" t="e">
        <f t="shared" ca="1" si="170"/>
        <v>#REF!</v>
      </c>
      <c r="D894" s="102" t="e">
        <f t="shared" ca="1" si="171"/>
        <v>#REF!</v>
      </c>
      <c r="E894" s="102" t="e">
        <f t="shared" ca="1" si="172"/>
        <v>#REF!</v>
      </c>
      <c r="F894" s="102" t="e">
        <f t="shared" ca="1" si="173"/>
        <v>#REF!</v>
      </c>
      <c r="G894" s="103">
        <f t="shared" ca="1" si="174"/>
        <v>0.43067510639409395</v>
      </c>
      <c r="H894" s="103">
        <f t="shared" ca="1" si="175"/>
        <v>0.19613073313128271</v>
      </c>
      <c r="I894" s="103" t="e">
        <f t="shared" ca="1" si="176"/>
        <v>#REF!</v>
      </c>
      <c r="J894" s="103" t="e">
        <f t="shared" ca="1" si="177"/>
        <v>#REF!</v>
      </c>
      <c r="K894" s="103" t="e">
        <f t="shared" ca="1" si="178"/>
        <v>#REF!</v>
      </c>
      <c r="L894" s="103" t="e">
        <f t="shared" ca="1" si="179"/>
        <v>#REF!</v>
      </c>
      <c r="M894" s="103" t="e">
        <f t="shared" ca="1" si="180"/>
        <v>#REF!</v>
      </c>
      <c r="N894" s="104" t="e">
        <f t="shared" ca="1" si="181"/>
        <v>#REF!</v>
      </c>
    </row>
    <row r="895" spans="1:14">
      <c r="A895" s="95">
        <v>857</v>
      </c>
      <c r="B895" s="102" t="e">
        <f t="shared" ca="1" si="169"/>
        <v>#REF!</v>
      </c>
      <c r="C895" s="102" t="e">
        <f t="shared" ca="1" si="170"/>
        <v>#REF!</v>
      </c>
      <c r="D895" s="102" t="e">
        <f t="shared" ca="1" si="171"/>
        <v>#REF!</v>
      </c>
      <c r="E895" s="102" t="e">
        <f t="shared" ca="1" si="172"/>
        <v>#REF!</v>
      </c>
      <c r="F895" s="102" t="e">
        <f t="shared" ca="1" si="173"/>
        <v>#REF!</v>
      </c>
      <c r="G895" s="103">
        <f t="shared" ca="1" si="174"/>
        <v>0.40755116473250408</v>
      </c>
      <c r="H895" s="103">
        <f t="shared" ca="1" si="175"/>
        <v>0.18631609468368826</v>
      </c>
      <c r="I895" s="103" t="e">
        <f t="shared" ca="1" si="176"/>
        <v>#REF!</v>
      </c>
      <c r="J895" s="103" t="e">
        <f t="shared" ca="1" si="177"/>
        <v>#REF!</v>
      </c>
      <c r="K895" s="103" t="e">
        <f t="shared" ca="1" si="178"/>
        <v>#REF!</v>
      </c>
      <c r="L895" s="103" t="e">
        <f t="shared" ca="1" si="179"/>
        <v>#REF!</v>
      </c>
      <c r="M895" s="103" t="e">
        <f t="shared" ca="1" si="180"/>
        <v>#REF!</v>
      </c>
      <c r="N895" s="104" t="e">
        <f t="shared" ca="1" si="181"/>
        <v>#REF!</v>
      </c>
    </row>
    <row r="896" spans="1:14">
      <c r="A896" s="96">
        <v>858</v>
      </c>
      <c r="B896" s="102" t="e">
        <f t="shared" ca="1" si="169"/>
        <v>#REF!</v>
      </c>
      <c r="C896" s="102" t="e">
        <f t="shared" ca="1" si="170"/>
        <v>#REF!</v>
      </c>
      <c r="D896" s="102" t="e">
        <f t="shared" ca="1" si="171"/>
        <v>#REF!</v>
      </c>
      <c r="E896" s="102" t="e">
        <f t="shared" ca="1" si="172"/>
        <v>#REF!</v>
      </c>
      <c r="F896" s="102" t="e">
        <f t="shared" ca="1" si="173"/>
        <v>#REF!</v>
      </c>
      <c r="G896" s="103">
        <f t="shared" ca="1" si="174"/>
        <v>0.39227448015503064</v>
      </c>
      <c r="H896" s="103">
        <f t="shared" ca="1" si="175"/>
        <v>0.1941408774115965</v>
      </c>
      <c r="I896" s="103" t="e">
        <f t="shared" ca="1" si="176"/>
        <v>#REF!</v>
      </c>
      <c r="J896" s="103" t="e">
        <f t="shared" ca="1" si="177"/>
        <v>#REF!</v>
      </c>
      <c r="K896" s="103" t="e">
        <f t="shared" ca="1" si="178"/>
        <v>#REF!</v>
      </c>
      <c r="L896" s="103" t="e">
        <f t="shared" ca="1" si="179"/>
        <v>#REF!</v>
      </c>
      <c r="M896" s="103" t="e">
        <f t="shared" ca="1" si="180"/>
        <v>#REF!</v>
      </c>
      <c r="N896" s="104" t="e">
        <f t="shared" ca="1" si="181"/>
        <v>#REF!</v>
      </c>
    </row>
    <row r="897" spans="1:14">
      <c r="A897" s="95">
        <v>859</v>
      </c>
      <c r="B897" s="102" t="e">
        <f t="shared" ca="1" si="169"/>
        <v>#REF!</v>
      </c>
      <c r="C897" s="102" t="e">
        <f t="shared" ca="1" si="170"/>
        <v>#REF!</v>
      </c>
      <c r="D897" s="102" t="e">
        <f t="shared" ca="1" si="171"/>
        <v>#REF!</v>
      </c>
      <c r="E897" s="102" t="e">
        <f t="shared" ca="1" si="172"/>
        <v>#REF!</v>
      </c>
      <c r="F897" s="102" t="e">
        <f t="shared" ca="1" si="173"/>
        <v>#REF!</v>
      </c>
      <c r="G897" s="103">
        <f t="shared" ca="1" si="174"/>
        <v>0.40320937737030199</v>
      </c>
      <c r="H897" s="103">
        <f t="shared" ca="1" si="175"/>
        <v>0.19619666198217928</v>
      </c>
      <c r="I897" s="103" t="e">
        <f t="shared" ca="1" si="176"/>
        <v>#REF!</v>
      </c>
      <c r="J897" s="103" t="e">
        <f t="shared" ca="1" si="177"/>
        <v>#REF!</v>
      </c>
      <c r="K897" s="103" t="e">
        <f t="shared" ca="1" si="178"/>
        <v>#REF!</v>
      </c>
      <c r="L897" s="103" t="e">
        <f t="shared" ca="1" si="179"/>
        <v>#REF!</v>
      </c>
      <c r="M897" s="103" t="e">
        <f t="shared" ca="1" si="180"/>
        <v>#REF!</v>
      </c>
      <c r="N897" s="104" t="e">
        <f t="shared" ca="1" si="181"/>
        <v>#REF!</v>
      </c>
    </row>
    <row r="898" spans="1:14">
      <c r="A898" s="96">
        <v>860</v>
      </c>
      <c r="B898" s="102" t="e">
        <f t="shared" ca="1" si="169"/>
        <v>#REF!</v>
      </c>
      <c r="C898" s="102" t="e">
        <f t="shared" ca="1" si="170"/>
        <v>#REF!</v>
      </c>
      <c r="D898" s="102" t="e">
        <f t="shared" ca="1" si="171"/>
        <v>#REF!</v>
      </c>
      <c r="E898" s="102" t="e">
        <f t="shared" ca="1" si="172"/>
        <v>#REF!</v>
      </c>
      <c r="F898" s="102" t="e">
        <f t="shared" ca="1" si="173"/>
        <v>#REF!</v>
      </c>
      <c r="G898" s="103">
        <f t="shared" ca="1" si="174"/>
        <v>0.44770073150513989</v>
      </c>
      <c r="H898" s="103">
        <f t="shared" ca="1" si="175"/>
        <v>0.19070683996560395</v>
      </c>
      <c r="I898" s="103" t="e">
        <f t="shared" ca="1" si="176"/>
        <v>#REF!</v>
      </c>
      <c r="J898" s="103" t="e">
        <f t="shared" ca="1" si="177"/>
        <v>#REF!</v>
      </c>
      <c r="K898" s="103" t="e">
        <f t="shared" ca="1" si="178"/>
        <v>#REF!</v>
      </c>
      <c r="L898" s="103" t="e">
        <f t="shared" ca="1" si="179"/>
        <v>#REF!</v>
      </c>
      <c r="M898" s="103" t="e">
        <f t="shared" ca="1" si="180"/>
        <v>#REF!</v>
      </c>
      <c r="N898" s="104" t="e">
        <f t="shared" ca="1" si="181"/>
        <v>#REF!</v>
      </c>
    </row>
    <row r="899" spans="1:14">
      <c r="A899" s="95">
        <v>861</v>
      </c>
      <c r="B899" s="102" t="e">
        <f t="shared" ca="1" si="169"/>
        <v>#REF!</v>
      </c>
      <c r="C899" s="102" t="e">
        <f t="shared" ca="1" si="170"/>
        <v>#REF!</v>
      </c>
      <c r="D899" s="102" t="e">
        <f t="shared" ca="1" si="171"/>
        <v>#REF!</v>
      </c>
      <c r="E899" s="102" t="e">
        <f t="shared" ca="1" si="172"/>
        <v>#REF!</v>
      </c>
      <c r="F899" s="102" t="e">
        <f t="shared" ca="1" si="173"/>
        <v>#REF!</v>
      </c>
      <c r="G899" s="103">
        <f t="shared" ca="1" si="174"/>
        <v>0.42913273938038349</v>
      </c>
      <c r="H899" s="103">
        <f t="shared" ca="1" si="175"/>
        <v>0.19630327983616971</v>
      </c>
      <c r="I899" s="103" t="e">
        <f t="shared" ca="1" si="176"/>
        <v>#REF!</v>
      </c>
      <c r="J899" s="103" t="e">
        <f t="shared" ca="1" si="177"/>
        <v>#REF!</v>
      </c>
      <c r="K899" s="103" t="e">
        <f t="shared" ca="1" si="178"/>
        <v>#REF!</v>
      </c>
      <c r="L899" s="103" t="e">
        <f t="shared" ca="1" si="179"/>
        <v>#REF!</v>
      </c>
      <c r="M899" s="103" t="e">
        <f t="shared" ca="1" si="180"/>
        <v>#REF!</v>
      </c>
      <c r="N899" s="104" t="e">
        <f t="shared" ca="1" si="181"/>
        <v>#REF!</v>
      </c>
    </row>
    <row r="900" spans="1:14">
      <c r="A900" s="96">
        <v>862</v>
      </c>
      <c r="B900" s="102" t="e">
        <f t="shared" ca="1" si="169"/>
        <v>#REF!</v>
      </c>
      <c r="C900" s="102" t="e">
        <f t="shared" ca="1" si="170"/>
        <v>#REF!</v>
      </c>
      <c r="D900" s="102" t="e">
        <f t="shared" ca="1" si="171"/>
        <v>#REF!</v>
      </c>
      <c r="E900" s="102" t="e">
        <f t="shared" ca="1" si="172"/>
        <v>#REF!</v>
      </c>
      <c r="F900" s="102" t="e">
        <f t="shared" ca="1" si="173"/>
        <v>#REF!</v>
      </c>
      <c r="G900" s="103">
        <f t="shared" ca="1" si="174"/>
        <v>0.42708413443764798</v>
      </c>
      <c r="H900" s="103">
        <f t="shared" ca="1" si="175"/>
        <v>0.21943602799112147</v>
      </c>
      <c r="I900" s="103" t="e">
        <f t="shared" ca="1" si="176"/>
        <v>#REF!</v>
      </c>
      <c r="J900" s="103" t="e">
        <f t="shared" ca="1" si="177"/>
        <v>#REF!</v>
      </c>
      <c r="K900" s="103" t="e">
        <f t="shared" ca="1" si="178"/>
        <v>#REF!</v>
      </c>
      <c r="L900" s="103" t="e">
        <f t="shared" ca="1" si="179"/>
        <v>#REF!</v>
      </c>
      <c r="M900" s="103" t="e">
        <f t="shared" ca="1" si="180"/>
        <v>#REF!</v>
      </c>
      <c r="N900" s="104" t="e">
        <f t="shared" ca="1" si="181"/>
        <v>#REF!</v>
      </c>
    </row>
    <row r="901" spans="1:14">
      <c r="A901" s="95">
        <v>863</v>
      </c>
      <c r="B901" s="102" t="e">
        <f t="shared" ca="1" si="169"/>
        <v>#REF!</v>
      </c>
      <c r="C901" s="102" t="e">
        <f t="shared" ca="1" si="170"/>
        <v>#REF!</v>
      </c>
      <c r="D901" s="102" t="e">
        <f t="shared" ca="1" si="171"/>
        <v>#REF!</v>
      </c>
      <c r="E901" s="102" t="e">
        <f t="shared" ca="1" si="172"/>
        <v>#REF!</v>
      </c>
      <c r="F901" s="102" t="e">
        <f t="shared" ca="1" si="173"/>
        <v>#REF!</v>
      </c>
      <c r="G901" s="103">
        <f t="shared" ca="1" si="174"/>
        <v>0.40724903460336853</v>
      </c>
      <c r="H901" s="103">
        <f t="shared" ca="1" si="175"/>
        <v>0.20437943266001576</v>
      </c>
      <c r="I901" s="103" t="e">
        <f t="shared" ca="1" si="176"/>
        <v>#REF!</v>
      </c>
      <c r="J901" s="103" t="e">
        <f t="shared" ca="1" si="177"/>
        <v>#REF!</v>
      </c>
      <c r="K901" s="103" t="e">
        <f t="shared" ca="1" si="178"/>
        <v>#REF!</v>
      </c>
      <c r="L901" s="103" t="e">
        <f t="shared" ca="1" si="179"/>
        <v>#REF!</v>
      </c>
      <c r="M901" s="103" t="e">
        <f t="shared" ca="1" si="180"/>
        <v>#REF!</v>
      </c>
      <c r="N901" s="104" t="e">
        <f t="shared" ca="1" si="181"/>
        <v>#REF!</v>
      </c>
    </row>
    <row r="902" spans="1:14">
      <c r="A902" s="96">
        <v>864</v>
      </c>
      <c r="B902" s="102" t="e">
        <f t="shared" ca="1" si="169"/>
        <v>#REF!</v>
      </c>
      <c r="C902" s="102" t="e">
        <f t="shared" ca="1" si="170"/>
        <v>#REF!</v>
      </c>
      <c r="D902" s="102" t="e">
        <f t="shared" ca="1" si="171"/>
        <v>#REF!</v>
      </c>
      <c r="E902" s="102" t="e">
        <f t="shared" ca="1" si="172"/>
        <v>#REF!</v>
      </c>
      <c r="F902" s="102" t="e">
        <f t="shared" ca="1" si="173"/>
        <v>#REF!</v>
      </c>
      <c r="G902" s="103">
        <f t="shared" ca="1" si="174"/>
        <v>0.47635190542186456</v>
      </c>
      <c r="H902" s="103">
        <f t="shared" ca="1" si="175"/>
        <v>0.2152029796629531</v>
      </c>
      <c r="I902" s="103" t="e">
        <f t="shared" ca="1" si="176"/>
        <v>#REF!</v>
      </c>
      <c r="J902" s="103" t="e">
        <f t="shared" ca="1" si="177"/>
        <v>#REF!</v>
      </c>
      <c r="K902" s="103" t="e">
        <f t="shared" ca="1" si="178"/>
        <v>#REF!</v>
      </c>
      <c r="L902" s="103" t="e">
        <f t="shared" ca="1" si="179"/>
        <v>#REF!</v>
      </c>
      <c r="M902" s="103" t="e">
        <f t="shared" ca="1" si="180"/>
        <v>#REF!</v>
      </c>
      <c r="N902" s="104" t="e">
        <f t="shared" ca="1" si="181"/>
        <v>#REF!</v>
      </c>
    </row>
    <row r="903" spans="1:14">
      <c r="A903" s="95">
        <v>865</v>
      </c>
      <c r="B903" s="102" t="e">
        <f t="shared" ca="1" si="169"/>
        <v>#REF!</v>
      </c>
      <c r="C903" s="102" t="e">
        <f t="shared" ca="1" si="170"/>
        <v>#REF!</v>
      </c>
      <c r="D903" s="102" t="e">
        <f t="shared" ca="1" si="171"/>
        <v>#REF!</v>
      </c>
      <c r="E903" s="102" t="e">
        <f t="shared" ca="1" si="172"/>
        <v>#REF!</v>
      </c>
      <c r="F903" s="102" t="e">
        <f t="shared" ca="1" si="173"/>
        <v>#REF!</v>
      </c>
      <c r="G903" s="103">
        <f t="shared" ca="1" si="174"/>
        <v>0.44095070530009683</v>
      </c>
      <c r="H903" s="103">
        <f t="shared" ca="1" si="175"/>
        <v>0.19995603689609234</v>
      </c>
      <c r="I903" s="103" t="e">
        <f t="shared" ca="1" si="176"/>
        <v>#REF!</v>
      </c>
      <c r="J903" s="103" t="e">
        <f t="shared" ca="1" si="177"/>
        <v>#REF!</v>
      </c>
      <c r="K903" s="103" t="e">
        <f t="shared" ca="1" si="178"/>
        <v>#REF!</v>
      </c>
      <c r="L903" s="103" t="e">
        <f t="shared" ca="1" si="179"/>
        <v>#REF!</v>
      </c>
      <c r="M903" s="103" t="e">
        <f t="shared" ca="1" si="180"/>
        <v>#REF!</v>
      </c>
      <c r="N903" s="104" t="e">
        <f t="shared" ca="1" si="181"/>
        <v>#REF!</v>
      </c>
    </row>
    <row r="904" spans="1:14">
      <c r="A904" s="96">
        <v>866</v>
      </c>
      <c r="B904" s="102" t="e">
        <f t="shared" ca="1" si="169"/>
        <v>#REF!</v>
      </c>
      <c r="C904" s="102" t="e">
        <f t="shared" ca="1" si="170"/>
        <v>#REF!</v>
      </c>
      <c r="D904" s="102" t="e">
        <f t="shared" ca="1" si="171"/>
        <v>#REF!</v>
      </c>
      <c r="E904" s="102" t="e">
        <f t="shared" ca="1" si="172"/>
        <v>#REF!</v>
      </c>
      <c r="F904" s="102" t="e">
        <f t="shared" ca="1" si="173"/>
        <v>#REF!</v>
      </c>
      <c r="G904" s="103">
        <f t="shared" ca="1" si="174"/>
        <v>0.47864912593021935</v>
      </c>
      <c r="H904" s="103">
        <f t="shared" ca="1" si="175"/>
        <v>0.18081003610611632</v>
      </c>
      <c r="I904" s="103" t="e">
        <f t="shared" ca="1" si="176"/>
        <v>#REF!</v>
      </c>
      <c r="J904" s="103" t="e">
        <f t="shared" ca="1" si="177"/>
        <v>#REF!</v>
      </c>
      <c r="K904" s="103" t="e">
        <f t="shared" ca="1" si="178"/>
        <v>#REF!</v>
      </c>
      <c r="L904" s="103" t="e">
        <f t="shared" ca="1" si="179"/>
        <v>#REF!</v>
      </c>
      <c r="M904" s="103" t="e">
        <f t="shared" ca="1" si="180"/>
        <v>#REF!</v>
      </c>
      <c r="N904" s="104" t="e">
        <f t="shared" ca="1" si="181"/>
        <v>#REF!</v>
      </c>
    </row>
    <row r="905" spans="1:14">
      <c r="A905" s="95">
        <v>867</v>
      </c>
      <c r="B905" s="102" t="e">
        <f t="shared" ca="1" si="169"/>
        <v>#REF!</v>
      </c>
      <c r="C905" s="102" t="e">
        <f t="shared" ca="1" si="170"/>
        <v>#REF!</v>
      </c>
      <c r="D905" s="102" t="e">
        <f t="shared" ca="1" si="171"/>
        <v>#REF!</v>
      </c>
      <c r="E905" s="102" t="e">
        <f t="shared" ca="1" si="172"/>
        <v>#REF!</v>
      </c>
      <c r="F905" s="102" t="e">
        <f t="shared" ca="1" si="173"/>
        <v>#REF!</v>
      </c>
      <c r="G905" s="103">
        <f t="shared" ca="1" si="174"/>
        <v>0.46779149152215893</v>
      </c>
      <c r="H905" s="103">
        <f t="shared" ca="1" si="175"/>
        <v>0.19978772745506063</v>
      </c>
      <c r="I905" s="103" t="e">
        <f t="shared" ca="1" si="176"/>
        <v>#REF!</v>
      </c>
      <c r="J905" s="103" t="e">
        <f t="shared" ca="1" si="177"/>
        <v>#REF!</v>
      </c>
      <c r="K905" s="103" t="e">
        <f t="shared" ca="1" si="178"/>
        <v>#REF!</v>
      </c>
      <c r="L905" s="103" t="e">
        <f t="shared" ca="1" si="179"/>
        <v>#REF!</v>
      </c>
      <c r="M905" s="103" t="e">
        <f t="shared" ca="1" si="180"/>
        <v>#REF!</v>
      </c>
      <c r="N905" s="104" t="e">
        <f t="shared" ca="1" si="181"/>
        <v>#REF!</v>
      </c>
    </row>
    <row r="906" spans="1:14">
      <c r="A906" s="96">
        <v>868</v>
      </c>
      <c r="B906" s="102" t="e">
        <f t="shared" ca="1" si="169"/>
        <v>#REF!</v>
      </c>
      <c r="C906" s="102" t="e">
        <f t="shared" ca="1" si="170"/>
        <v>#REF!</v>
      </c>
      <c r="D906" s="102" t="e">
        <f t="shared" ca="1" si="171"/>
        <v>#REF!</v>
      </c>
      <c r="E906" s="102" t="e">
        <f t="shared" ca="1" si="172"/>
        <v>#REF!</v>
      </c>
      <c r="F906" s="102" t="e">
        <f t="shared" ca="1" si="173"/>
        <v>#REF!</v>
      </c>
      <c r="G906" s="103">
        <f t="shared" ca="1" si="174"/>
        <v>0.42032730453577671</v>
      </c>
      <c r="H906" s="103">
        <f t="shared" ca="1" si="175"/>
        <v>0.19631334536868686</v>
      </c>
      <c r="I906" s="103" t="e">
        <f t="shared" ca="1" si="176"/>
        <v>#REF!</v>
      </c>
      <c r="J906" s="103" t="e">
        <f t="shared" ca="1" si="177"/>
        <v>#REF!</v>
      </c>
      <c r="K906" s="103" t="e">
        <f t="shared" ca="1" si="178"/>
        <v>#REF!</v>
      </c>
      <c r="L906" s="103" t="e">
        <f t="shared" ca="1" si="179"/>
        <v>#REF!</v>
      </c>
      <c r="M906" s="103" t="e">
        <f t="shared" ca="1" si="180"/>
        <v>#REF!</v>
      </c>
      <c r="N906" s="104" t="e">
        <f t="shared" ca="1" si="181"/>
        <v>#REF!</v>
      </c>
    </row>
    <row r="907" spans="1:14">
      <c r="A907" s="95">
        <v>869</v>
      </c>
      <c r="B907" s="102" t="e">
        <f t="shared" ca="1" si="169"/>
        <v>#REF!</v>
      </c>
      <c r="C907" s="102" t="e">
        <f t="shared" ca="1" si="170"/>
        <v>#REF!</v>
      </c>
      <c r="D907" s="102" t="e">
        <f t="shared" ca="1" si="171"/>
        <v>#REF!</v>
      </c>
      <c r="E907" s="102" t="e">
        <f t="shared" ca="1" si="172"/>
        <v>#REF!</v>
      </c>
      <c r="F907" s="102" t="e">
        <f t="shared" ca="1" si="173"/>
        <v>#REF!</v>
      </c>
      <c r="G907" s="103">
        <f t="shared" ca="1" si="174"/>
        <v>0.44617552550853512</v>
      </c>
      <c r="H907" s="103">
        <f t="shared" ca="1" si="175"/>
        <v>0.21339383081229082</v>
      </c>
      <c r="I907" s="103" t="e">
        <f t="shared" ca="1" si="176"/>
        <v>#REF!</v>
      </c>
      <c r="J907" s="103" t="e">
        <f t="shared" ca="1" si="177"/>
        <v>#REF!</v>
      </c>
      <c r="K907" s="103" t="e">
        <f t="shared" ca="1" si="178"/>
        <v>#REF!</v>
      </c>
      <c r="L907" s="103" t="e">
        <f t="shared" ca="1" si="179"/>
        <v>#REF!</v>
      </c>
      <c r="M907" s="103" t="e">
        <f t="shared" ca="1" si="180"/>
        <v>#REF!</v>
      </c>
      <c r="N907" s="104" t="e">
        <f t="shared" ca="1" si="181"/>
        <v>#REF!</v>
      </c>
    </row>
    <row r="908" spans="1:14">
      <c r="A908" s="96">
        <v>870</v>
      </c>
      <c r="B908" s="102" t="e">
        <f t="shared" ca="1" si="169"/>
        <v>#REF!</v>
      </c>
      <c r="C908" s="102" t="e">
        <f t="shared" ca="1" si="170"/>
        <v>#REF!</v>
      </c>
      <c r="D908" s="102" t="e">
        <f t="shared" ca="1" si="171"/>
        <v>#REF!</v>
      </c>
      <c r="E908" s="102" t="e">
        <f t="shared" ca="1" si="172"/>
        <v>#REF!</v>
      </c>
      <c r="F908" s="102" t="e">
        <f t="shared" ca="1" si="173"/>
        <v>#REF!</v>
      </c>
      <c r="G908" s="103">
        <f t="shared" ca="1" si="174"/>
        <v>0.4490407973306389</v>
      </c>
      <c r="H908" s="103">
        <f t="shared" ca="1" si="175"/>
        <v>0.1927012898381493</v>
      </c>
      <c r="I908" s="103" t="e">
        <f t="shared" ca="1" si="176"/>
        <v>#REF!</v>
      </c>
      <c r="J908" s="103" t="e">
        <f t="shared" ca="1" si="177"/>
        <v>#REF!</v>
      </c>
      <c r="K908" s="103" t="e">
        <f t="shared" ca="1" si="178"/>
        <v>#REF!</v>
      </c>
      <c r="L908" s="103" t="e">
        <f t="shared" ca="1" si="179"/>
        <v>#REF!</v>
      </c>
      <c r="M908" s="103" t="e">
        <f t="shared" ca="1" si="180"/>
        <v>#REF!</v>
      </c>
      <c r="N908" s="104" t="e">
        <f t="shared" ca="1" si="181"/>
        <v>#REF!</v>
      </c>
    </row>
    <row r="909" spans="1:14">
      <c r="A909" s="95">
        <v>871</v>
      </c>
      <c r="B909" s="102" t="e">
        <f t="shared" ca="1" si="169"/>
        <v>#REF!</v>
      </c>
      <c r="C909" s="102" t="e">
        <f t="shared" ca="1" si="170"/>
        <v>#REF!</v>
      </c>
      <c r="D909" s="102" t="e">
        <f t="shared" ca="1" si="171"/>
        <v>#REF!</v>
      </c>
      <c r="E909" s="102" t="e">
        <f t="shared" ca="1" si="172"/>
        <v>#REF!</v>
      </c>
      <c r="F909" s="102" t="e">
        <f t="shared" ca="1" si="173"/>
        <v>#REF!</v>
      </c>
      <c r="G909" s="103">
        <f t="shared" ca="1" si="174"/>
        <v>0.39793197972447919</v>
      </c>
      <c r="H909" s="103">
        <f t="shared" ca="1" si="175"/>
        <v>0.18241820338873946</v>
      </c>
      <c r="I909" s="103" t="e">
        <f t="shared" ca="1" si="176"/>
        <v>#REF!</v>
      </c>
      <c r="J909" s="103" t="e">
        <f t="shared" ca="1" si="177"/>
        <v>#REF!</v>
      </c>
      <c r="K909" s="103" t="e">
        <f t="shared" ca="1" si="178"/>
        <v>#REF!</v>
      </c>
      <c r="L909" s="103" t="e">
        <f t="shared" ca="1" si="179"/>
        <v>#REF!</v>
      </c>
      <c r="M909" s="103" t="e">
        <f t="shared" ca="1" si="180"/>
        <v>#REF!</v>
      </c>
      <c r="N909" s="104" t="e">
        <f t="shared" ca="1" si="181"/>
        <v>#REF!</v>
      </c>
    </row>
    <row r="910" spans="1:14">
      <c r="A910" s="96">
        <v>872</v>
      </c>
      <c r="B910" s="102" t="e">
        <f t="shared" ca="1" si="169"/>
        <v>#REF!</v>
      </c>
      <c r="C910" s="102" t="e">
        <f t="shared" ca="1" si="170"/>
        <v>#REF!</v>
      </c>
      <c r="D910" s="102" t="e">
        <f t="shared" ca="1" si="171"/>
        <v>#REF!</v>
      </c>
      <c r="E910" s="102" t="e">
        <f t="shared" ca="1" si="172"/>
        <v>#REF!</v>
      </c>
      <c r="F910" s="102" t="e">
        <f t="shared" ca="1" si="173"/>
        <v>#REF!</v>
      </c>
      <c r="G910" s="103">
        <f t="shared" ca="1" si="174"/>
        <v>0.45288858482336042</v>
      </c>
      <c r="H910" s="103">
        <f t="shared" ca="1" si="175"/>
        <v>0.21325592326100548</v>
      </c>
      <c r="I910" s="103" t="e">
        <f t="shared" ca="1" si="176"/>
        <v>#REF!</v>
      </c>
      <c r="J910" s="103" t="e">
        <f t="shared" ca="1" si="177"/>
        <v>#REF!</v>
      </c>
      <c r="K910" s="103" t="e">
        <f t="shared" ca="1" si="178"/>
        <v>#REF!</v>
      </c>
      <c r="L910" s="103" t="e">
        <f t="shared" ca="1" si="179"/>
        <v>#REF!</v>
      </c>
      <c r="M910" s="103" t="e">
        <f t="shared" ca="1" si="180"/>
        <v>#REF!</v>
      </c>
      <c r="N910" s="104" t="e">
        <f t="shared" ca="1" si="181"/>
        <v>#REF!</v>
      </c>
    </row>
    <row r="911" spans="1:14">
      <c r="A911" s="95">
        <v>873</v>
      </c>
      <c r="B911" s="102" t="e">
        <f t="shared" ca="1" si="169"/>
        <v>#REF!</v>
      </c>
      <c r="C911" s="102" t="e">
        <f t="shared" ca="1" si="170"/>
        <v>#REF!</v>
      </c>
      <c r="D911" s="102" t="e">
        <f t="shared" ca="1" si="171"/>
        <v>#REF!</v>
      </c>
      <c r="E911" s="102" t="e">
        <f t="shared" ca="1" si="172"/>
        <v>#REF!</v>
      </c>
      <c r="F911" s="102" t="e">
        <f t="shared" ca="1" si="173"/>
        <v>#REF!</v>
      </c>
      <c r="G911" s="103">
        <f t="shared" ca="1" si="174"/>
        <v>0.45664338063891774</v>
      </c>
      <c r="H911" s="103">
        <f t="shared" ca="1" si="175"/>
        <v>0.20540441851180669</v>
      </c>
      <c r="I911" s="103" t="e">
        <f t="shared" ca="1" si="176"/>
        <v>#REF!</v>
      </c>
      <c r="J911" s="103" t="e">
        <f t="shared" ca="1" si="177"/>
        <v>#REF!</v>
      </c>
      <c r="K911" s="103" t="e">
        <f t="shared" ca="1" si="178"/>
        <v>#REF!</v>
      </c>
      <c r="L911" s="103" t="e">
        <f t="shared" ca="1" si="179"/>
        <v>#REF!</v>
      </c>
      <c r="M911" s="103" t="e">
        <f t="shared" ca="1" si="180"/>
        <v>#REF!</v>
      </c>
      <c r="N911" s="104" t="e">
        <f t="shared" ca="1" si="181"/>
        <v>#REF!</v>
      </c>
    </row>
    <row r="912" spans="1:14">
      <c r="A912" s="96">
        <v>874</v>
      </c>
      <c r="B912" s="102" t="e">
        <f t="shared" ca="1" si="169"/>
        <v>#REF!</v>
      </c>
      <c r="C912" s="102" t="e">
        <f t="shared" ca="1" si="170"/>
        <v>#REF!</v>
      </c>
      <c r="D912" s="102" t="e">
        <f t="shared" ca="1" si="171"/>
        <v>#REF!</v>
      </c>
      <c r="E912" s="102" t="e">
        <f t="shared" ca="1" si="172"/>
        <v>#REF!</v>
      </c>
      <c r="F912" s="102" t="e">
        <f t="shared" ca="1" si="173"/>
        <v>#REF!</v>
      </c>
      <c r="G912" s="103">
        <f t="shared" ca="1" si="174"/>
        <v>0.44736417545861984</v>
      </c>
      <c r="H912" s="103">
        <f t="shared" ca="1" si="175"/>
        <v>0.21339716768041947</v>
      </c>
      <c r="I912" s="103" t="e">
        <f t="shared" ca="1" si="176"/>
        <v>#REF!</v>
      </c>
      <c r="J912" s="103" t="e">
        <f t="shared" ca="1" si="177"/>
        <v>#REF!</v>
      </c>
      <c r="K912" s="103" t="e">
        <f t="shared" ca="1" si="178"/>
        <v>#REF!</v>
      </c>
      <c r="L912" s="103" t="e">
        <f t="shared" ca="1" si="179"/>
        <v>#REF!</v>
      </c>
      <c r="M912" s="103" t="e">
        <f t="shared" ca="1" si="180"/>
        <v>#REF!</v>
      </c>
      <c r="N912" s="104" t="e">
        <f t="shared" ca="1" si="181"/>
        <v>#REF!</v>
      </c>
    </row>
    <row r="913" spans="1:14">
      <c r="A913" s="95">
        <v>875</v>
      </c>
      <c r="B913" s="102" t="e">
        <f t="shared" ca="1" si="169"/>
        <v>#REF!</v>
      </c>
      <c r="C913" s="102" t="e">
        <f t="shared" ca="1" si="170"/>
        <v>#REF!</v>
      </c>
      <c r="D913" s="102" t="e">
        <f t="shared" ca="1" si="171"/>
        <v>#REF!</v>
      </c>
      <c r="E913" s="102" t="e">
        <f t="shared" ca="1" si="172"/>
        <v>#REF!</v>
      </c>
      <c r="F913" s="102" t="e">
        <f t="shared" ca="1" si="173"/>
        <v>#REF!</v>
      </c>
      <c r="G913" s="103">
        <f t="shared" ca="1" si="174"/>
        <v>0.47029165759134239</v>
      </c>
      <c r="H913" s="103">
        <f t="shared" ca="1" si="175"/>
        <v>0.18758467391146685</v>
      </c>
      <c r="I913" s="103" t="e">
        <f t="shared" ca="1" si="176"/>
        <v>#REF!</v>
      </c>
      <c r="J913" s="103" t="e">
        <f t="shared" ca="1" si="177"/>
        <v>#REF!</v>
      </c>
      <c r="K913" s="103" t="e">
        <f t="shared" ca="1" si="178"/>
        <v>#REF!</v>
      </c>
      <c r="L913" s="103" t="e">
        <f t="shared" ca="1" si="179"/>
        <v>#REF!</v>
      </c>
      <c r="M913" s="103" t="e">
        <f t="shared" ca="1" si="180"/>
        <v>#REF!</v>
      </c>
      <c r="N913" s="104" t="e">
        <f t="shared" ca="1" si="181"/>
        <v>#REF!</v>
      </c>
    </row>
    <row r="914" spans="1:14">
      <c r="A914" s="96">
        <v>876</v>
      </c>
      <c r="B914" s="102" t="e">
        <f t="shared" ca="1" si="169"/>
        <v>#REF!</v>
      </c>
      <c r="C914" s="102" t="e">
        <f t="shared" ca="1" si="170"/>
        <v>#REF!</v>
      </c>
      <c r="D914" s="102" t="e">
        <f t="shared" ca="1" si="171"/>
        <v>#REF!</v>
      </c>
      <c r="E914" s="102" t="e">
        <f t="shared" ca="1" si="172"/>
        <v>#REF!</v>
      </c>
      <c r="F914" s="102" t="e">
        <f t="shared" ca="1" si="173"/>
        <v>#REF!</v>
      </c>
      <c r="G914" s="103">
        <f t="shared" ca="1" si="174"/>
        <v>0.47097278591523029</v>
      </c>
      <c r="H914" s="103">
        <f t="shared" ca="1" si="175"/>
        <v>0.21225495471841108</v>
      </c>
      <c r="I914" s="103" t="e">
        <f t="shared" ca="1" si="176"/>
        <v>#REF!</v>
      </c>
      <c r="J914" s="103" t="e">
        <f t="shared" ca="1" si="177"/>
        <v>#REF!</v>
      </c>
      <c r="K914" s="103" t="e">
        <f t="shared" ca="1" si="178"/>
        <v>#REF!</v>
      </c>
      <c r="L914" s="103" t="e">
        <f t="shared" ca="1" si="179"/>
        <v>#REF!</v>
      </c>
      <c r="M914" s="103" t="e">
        <f t="shared" ca="1" si="180"/>
        <v>#REF!</v>
      </c>
      <c r="N914" s="104" t="e">
        <f t="shared" ca="1" si="181"/>
        <v>#REF!</v>
      </c>
    </row>
    <row r="915" spans="1:14">
      <c r="A915" s="95">
        <v>877</v>
      </c>
      <c r="B915" s="102" t="e">
        <f t="shared" ca="1" si="169"/>
        <v>#REF!</v>
      </c>
      <c r="C915" s="102" t="e">
        <f t="shared" ca="1" si="170"/>
        <v>#REF!</v>
      </c>
      <c r="D915" s="102" t="e">
        <f t="shared" ca="1" si="171"/>
        <v>#REF!</v>
      </c>
      <c r="E915" s="102" t="e">
        <f t="shared" ca="1" si="172"/>
        <v>#REF!</v>
      </c>
      <c r="F915" s="102" t="e">
        <f t="shared" ca="1" si="173"/>
        <v>#REF!</v>
      </c>
      <c r="G915" s="103">
        <f t="shared" ca="1" si="174"/>
        <v>0.41335194160170746</v>
      </c>
      <c r="H915" s="103">
        <f t="shared" ca="1" si="175"/>
        <v>0.21730997671041349</v>
      </c>
      <c r="I915" s="103" t="e">
        <f t="shared" ca="1" si="176"/>
        <v>#REF!</v>
      </c>
      <c r="J915" s="103" t="e">
        <f t="shared" ca="1" si="177"/>
        <v>#REF!</v>
      </c>
      <c r="K915" s="103" t="e">
        <f t="shared" ca="1" si="178"/>
        <v>#REF!</v>
      </c>
      <c r="L915" s="103" t="e">
        <f t="shared" ca="1" si="179"/>
        <v>#REF!</v>
      </c>
      <c r="M915" s="103" t="e">
        <f t="shared" ca="1" si="180"/>
        <v>#REF!</v>
      </c>
      <c r="N915" s="104" t="e">
        <f t="shared" ca="1" si="181"/>
        <v>#REF!</v>
      </c>
    </row>
    <row r="916" spans="1:14">
      <c r="A916" s="96">
        <v>878</v>
      </c>
      <c r="B916" s="102" t="e">
        <f t="shared" ca="1" si="169"/>
        <v>#REF!</v>
      </c>
      <c r="C916" s="102" t="e">
        <f t="shared" ca="1" si="170"/>
        <v>#REF!</v>
      </c>
      <c r="D916" s="102" t="e">
        <f t="shared" ca="1" si="171"/>
        <v>#REF!</v>
      </c>
      <c r="E916" s="102" t="e">
        <f t="shared" ca="1" si="172"/>
        <v>#REF!</v>
      </c>
      <c r="F916" s="102" t="e">
        <f t="shared" ca="1" si="173"/>
        <v>#REF!</v>
      </c>
      <c r="G916" s="103">
        <f t="shared" ca="1" si="174"/>
        <v>0.40979045324193164</v>
      </c>
      <c r="H916" s="103">
        <f t="shared" ca="1" si="175"/>
        <v>0.20488302769572575</v>
      </c>
      <c r="I916" s="103" t="e">
        <f t="shared" ca="1" si="176"/>
        <v>#REF!</v>
      </c>
      <c r="J916" s="103" t="e">
        <f t="shared" ca="1" si="177"/>
        <v>#REF!</v>
      </c>
      <c r="K916" s="103" t="e">
        <f t="shared" ca="1" si="178"/>
        <v>#REF!</v>
      </c>
      <c r="L916" s="103" t="e">
        <f t="shared" ca="1" si="179"/>
        <v>#REF!</v>
      </c>
      <c r="M916" s="103" t="e">
        <f t="shared" ca="1" si="180"/>
        <v>#REF!</v>
      </c>
      <c r="N916" s="104" t="e">
        <f t="shared" ca="1" si="181"/>
        <v>#REF!</v>
      </c>
    </row>
    <row r="917" spans="1:14">
      <c r="A917" s="95">
        <v>879</v>
      </c>
      <c r="B917" s="102" t="e">
        <f t="shared" ca="1" si="169"/>
        <v>#REF!</v>
      </c>
      <c r="C917" s="102" t="e">
        <f t="shared" ca="1" si="170"/>
        <v>#REF!</v>
      </c>
      <c r="D917" s="102" t="e">
        <f t="shared" ca="1" si="171"/>
        <v>#REF!</v>
      </c>
      <c r="E917" s="102" t="e">
        <f t="shared" ca="1" si="172"/>
        <v>#REF!</v>
      </c>
      <c r="F917" s="102" t="e">
        <f t="shared" ca="1" si="173"/>
        <v>#REF!</v>
      </c>
      <c r="G917" s="103">
        <f t="shared" ca="1" si="174"/>
        <v>0.44181551971225114</v>
      </c>
      <c r="H917" s="103">
        <f t="shared" ca="1" si="175"/>
        <v>0.19372443268983275</v>
      </c>
      <c r="I917" s="103" t="e">
        <f t="shared" ca="1" si="176"/>
        <v>#REF!</v>
      </c>
      <c r="J917" s="103" t="e">
        <f t="shared" ca="1" si="177"/>
        <v>#REF!</v>
      </c>
      <c r="K917" s="103" t="e">
        <f t="shared" ca="1" si="178"/>
        <v>#REF!</v>
      </c>
      <c r="L917" s="103" t="e">
        <f t="shared" ca="1" si="179"/>
        <v>#REF!</v>
      </c>
      <c r="M917" s="103" t="e">
        <f t="shared" ca="1" si="180"/>
        <v>#REF!</v>
      </c>
      <c r="N917" s="104" t="e">
        <f t="shared" ca="1" si="181"/>
        <v>#REF!</v>
      </c>
    </row>
    <row r="918" spans="1:14">
      <c r="A918" s="96">
        <v>880</v>
      </c>
      <c r="B918" s="102" t="e">
        <f t="shared" ca="1" si="169"/>
        <v>#REF!</v>
      </c>
      <c r="C918" s="102" t="e">
        <f t="shared" ca="1" si="170"/>
        <v>#REF!</v>
      </c>
      <c r="D918" s="102" t="e">
        <f t="shared" ca="1" si="171"/>
        <v>#REF!</v>
      </c>
      <c r="E918" s="102" t="e">
        <f t="shared" ca="1" si="172"/>
        <v>#REF!</v>
      </c>
      <c r="F918" s="102" t="e">
        <f t="shared" ca="1" si="173"/>
        <v>#REF!</v>
      </c>
      <c r="G918" s="103">
        <f t="shared" ca="1" si="174"/>
        <v>0.43057375342567478</v>
      </c>
      <c r="H918" s="103">
        <f t="shared" ca="1" si="175"/>
        <v>0.17116223356617394</v>
      </c>
      <c r="I918" s="103" t="e">
        <f t="shared" ca="1" si="176"/>
        <v>#REF!</v>
      </c>
      <c r="J918" s="103" t="e">
        <f t="shared" ca="1" si="177"/>
        <v>#REF!</v>
      </c>
      <c r="K918" s="103" t="e">
        <f t="shared" ca="1" si="178"/>
        <v>#REF!</v>
      </c>
      <c r="L918" s="103" t="e">
        <f t="shared" ca="1" si="179"/>
        <v>#REF!</v>
      </c>
      <c r="M918" s="103" t="e">
        <f t="shared" ca="1" si="180"/>
        <v>#REF!</v>
      </c>
      <c r="N918" s="104" t="e">
        <f t="shared" ca="1" si="181"/>
        <v>#REF!</v>
      </c>
    </row>
    <row r="919" spans="1:14">
      <c r="A919" s="95">
        <v>881</v>
      </c>
      <c r="B919" s="102" t="e">
        <f t="shared" ca="1" si="169"/>
        <v>#REF!</v>
      </c>
      <c r="C919" s="102" t="e">
        <f t="shared" ca="1" si="170"/>
        <v>#REF!</v>
      </c>
      <c r="D919" s="102" t="e">
        <f t="shared" ca="1" si="171"/>
        <v>#REF!</v>
      </c>
      <c r="E919" s="102" t="e">
        <f t="shared" ca="1" si="172"/>
        <v>#REF!</v>
      </c>
      <c r="F919" s="102" t="e">
        <f t="shared" ca="1" si="173"/>
        <v>#REF!</v>
      </c>
      <c r="G919" s="103">
        <f t="shared" ca="1" si="174"/>
        <v>0.41144471720554621</v>
      </c>
      <c r="H919" s="103">
        <f t="shared" ca="1" si="175"/>
        <v>0.203910888928901</v>
      </c>
      <c r="I919" s="103" t="e">
        <f t="shared" ca="1" si="176"/>
        <v>#REF!</v>
      </c>
      <c r="J919" s="103" t="e">
        <f t="shared" ca="1" si="177"/>
        <v>#REF!</v>
      </c>
      <c r="K919" s="103" t="e">
        <f t="shared" ca="1" si="178"/>
        <v>#REF!</v>
      </c>
      <c r="L919" s="103" t="e">
        <f t="shared" ca="1" si="179"/>
        <v>#REF!</v>
      </c>
      <c r="M919" s="103" t="e">
        <f t="shared" ca="1" si="180"/>
        <v>#REF!</v>
      </c>
      <c r="N919" s="104" t="e">
        <f t="shared" ca="1" si="181"/>
        <v>#REF!</v>
      </c>
    </row>
    <row r="920" spans="1:14">
      <c r="A920" s="96">
        <v>882</v>
      </c>
      <c r="B920" s="102" t="e">
        <f t="shared" ca="1" si="169"/>
        <v>#REF!</v>
      </c>
      <c r="C920" s="102" t="e">
        <f t="shared" ca="1" si="170"/>
        <v>#REF!</v>
      </c>
      <c r="D920" s="102" t="e">
        <f t="shared" ca="1" si="171"/>
        <v>#REF!</v>
      </c>
      <c r="E920" s="102" t="e">
        <f t="shared" ca="1" si="172"/>
        <v>#REF!</v>
      </c>
      <c r="F920" s="102" t="e">
        <f t="shared" ca="1" si="173"/>
        <v>#REF!</v>
      </c>
      <c r="G920" s="103">
        <f t="shared" ca="1" si="174"/>
        <v>0.37373378113609856</v>
      </c>
      <c r="H920" s="103">
        <f t="shared" ca="1" si="175"/>
        <v>0.17295049473396276</v>
      </c>
      <c r="I920" s="103" t="e">
        <f t="shared" ca="1" si="176"/>
        <v>#REF!</v>
      </c>
      <c r="J920" s="103" t="e">
        <f t="shared" ca="1" si="177"/>
        <v>#REF!</v>
      </c>
      <c r="K920" s="103" t="e">
        <f t="shared" ca="1" si="178"/>
        <v>#REF!</v>
      </c>
      <c r="L920" s="103" t="e">
        <f t="shared" ca="1" si="179"/>
        <v>#REF!</v>
      </c>
      <c r="M920" s="103" t="e">
        <f t="shared" ca="1" si="180"/>
        <v>#REF!</v>
      </c>
      <c r="N920" s="104" t="e">
        <f t="shared" ca="1" si="181"/>
        <v>#REF!</v>
      </c>
    </row>
    <row r="921" spans="1:14">
      <c r="A921" s="95">
        <v>883</v>
      </c>
      <c r="B921" s="102" t="e">
        <f t="shared" ca="1" si="169"/>
        <v>#REF!</v>
      </c>
      <c r="C921" s="102" t="e">
        <f t="shared" ca="1" si="170"/>
        <v>#REF!</v>
      </c>
      <c r="D921" s="102" t="e">
        <f t="shared" ca="1" si="171"/>
        <v>#REF!</v>
      </c>
      <c r="E921" s="102" t="e">
        <f t="shared" ca="1" si="172"/>
        <v>#REF!</v>
      </c>
      <c r="F921" s="102" t="e">
        <f t="shared" ca="1" si="173"/>
        <v>#REF!</v>
      </c>
      <c r="G921" s="103">
        <f t="shared" ca="1" si="174"/>
        <v>0.44629064135999907</v>
      </c>
      <c r="H921" s="103">
        <f t="shared" ca="1" si="175"/>
        <v>0.22372377588674586</v>
      </c>
      <c r="I921" s="103" t="e">
        <f t="shared" ca="1" si="176"/>
        <v>#REF!</v>
      </c>
      <c r="J921" s="103" t="e">
        <f t="shared" ca="1" si="177"/>
        <v>#REF!</v>
      </c>
      <c r="K921" s="103" t="e">
        <f t="shared" ca="1" si="178"/>
        <v>#REF!</v>
      </c>
      <c r="L921" s="103" t="e">
        <f t="shared" ca="1" si="179"/>
        <v>#REF!</v>
      </c>
      <c r="M921" s="103" t="e">
        <f t="shared" ca="1" si="180"/>
        <v>#REF!</v>
      </c>
      <c r="N921" s="104" t="e">
        <f t="shared" ca="1" si="181"/>
        <v>#REF!</v>
      </c>
    </row>
    <row r="922" spans="1:14">
      <c r="A922" s="96">
        <v>884</v>
      </c>
      <c r="B922" s="102" t="e">
        <f t="shared" ca="1" si="169"/>
        <v>#REF!</v>
      </c>
      <c r="C922" s="102" t="e">
        <f t="shared" ca="1" si="170"/>
        <v>#REF!</v>
      </c>
      <c r="D922" s="102" t="e">
        <f t="shared" ca="1" si="171"/>
        <v>#REF!</v>
      </c>
      <c r="E922" s="102" t="e">
        <f t="shared" ca="1" si="172"/>
        <v>#REF!</v>
      </c>
      <c r="F922" s="102" t="e">
        <f t="shared" ca="1" si="173"/>
        <v>#REF!</v>
      </c>
      <c r="G922" s="103">
        <f t="shared" ca="1" si="174"/>
        <v>0.41477138308003603</v>
      </c>
      <c r="H922" s="103">
        <f t="shared" ca="1" si="175"/>
        <v>0.20515551876222202</v>
      </c>
      <c r="I922" s="103" t="e">
        <f t="shared" ca="1" si="176"/>
        <v>#REF!</v>
      </c>
      <c r="J922" s="103" t="e">
        <f t="shared" ca="1" si="177"/>
        <v>#REF!</v>
      </c>
      <c r="K922" s="103" t="e">
        <f t="shared" ca="1" si="178"/>
        <v>#REF!</v>
      </c>
      <c r="L922" s="103" t="e">
        <f t="shared" ca="1" si="179"/>
        <v>#REF!</v>
      </c>
      <c r="M922" s="103" t="e">
        <f t="shared" ca="1" si="180"/>
        <v>#REF!</v>
      </c>
      <c r="N922" s="104" t="e">
        <f t="shared" ca="1" si="181"/>
        <v>#REF!</v>
      </c>
    </row>
    <row r="923" spans="1:14">
      <c r="A923" s="95">
        <v>885</v>
      </c>
      <c r="B923" s="102" t="e">
        <f t="shared" ca="1" si="169"/>
        <v>#REF!</v>
      </c>
      <c r="C923" s="102" t="e">
        <f t="shared" ca="1" si="170"/>
        <v>#REF!</v>
      </c>
      <c r="D923" s="102" t="e">
        <f t="shared" ca="1" si="171"/>
        <v>#REF!</v>
      </c>
      <c r="E923" s="102" t="e">
        <f t="shared" ca="1" si="172"/>
        <v>#REF!</v>
      </c>
      <c r="F923" s="102" t="e">
        <f t="shared" ca="1" si="173"/>
        <v>#REF!</v>
      </c>
      <c r="G923" s="103">
        <f t="shared" ca="1" si="174"/>
        <v>0.40842989261156815</v>
      </c>
      <c r="H923" s="103">
        <f t="shared" ca="1" si="175"/>
        <v>0.2013836555623115</v>
      </c>
      <c r="I923" s="103" t="e">
        <f t="shared" ca="1" si="176"/>
        <v>#REF!</v>
      </c>
      <c r="J923" s="103" t="e">
        <f t="shared" ca="1" si="177"/>
        <v>#REF!</v>
      </c>
      <c r="K923" s="103" t="e">
        <f t="shared" ca="1" si="178"/>
        <v>#REF!</v>
      </c>
      <c r="L923" s="103" t="e">
        <f t="shared" ca="1" si="179"/>
        <v>#REF!</v>
      </c>
      <c r="M923" s="103" t="e">
        <f t="shared" ca="1" si="180"/>
        <v>#REF!</v>
      </c>
      <c r="N923" s="104" t="e">
        <f t="shared" ca="1" si="181"/>
        <v>#REF!</v>
      </c>
    </row>
    <row r="924" spans="1:14">
      <c r="A924" s="96">
        <v>886</v>
      </c>
      <c r="B924" s="102" t="e">
        <f t="shared" ca="1" si="169"/>
        <v>#REF!</v>
      </c>
      <c r="C924" s="102" t="e">
        <f t="shared" ca="1" si="170"/>
        <v>#REF!</v>
      </c>
      <c r="D924" s="102" t="e">
        <f t="shared" ca="1" si="171"/>
        <v>#REF!</v>
      </c>
      <c r="E924" s="102" t="e">
        <f t="shared" ca="1" si="172"/>
        <v>#REF!</v>
      </c>
      <c r="F924" s="102" t="e">
        <f t="shared" ca="1" si="173"/>
        <v>#REF!</v>
      </c>
      <c r="G924" s="103">
        <f t="shared" ca="1" si="174"/>
        <v>0.44612660785225494</v>
      </c>
      <c r="H924" s="103">
        <f t="shared" ca="1" si="175"/>
        <v>0.21659153789954586</v>
      </c>
      <c r="I924" s="103" t="e">
        <f t="shared" ca="1" si="176"/>
        <v>#REF!</v>
      </c>
      <c r="J924" s="103" t="e">
        <f t="shared" ca="1" si="177"/>
        <v>#REF!</v>
      </c>
      <c r="K924" s="103" t="e">
        <f t="shared" ca="1" si="178"/>
        <v>#REF!</v>
      </c>
      <c r="L924" s="103" t="e">
        <f t="shared" ca="1" si="179"/>
        <v>#REF!</v>
      </c>
      <c r="M924" s="103" t="e">
        <f t="shared" ca="1" si="180"/>
        <v>#REF!</v>
      </c>
      <c r="N924" s="104" t="e">
        <f t="shared" ca="1" si="181"/>
        <v>#REF!</v>
      </c>
    </row>
    <row r="925" spans="1:14">
      <c r="A925" s="95">
        <v>887</v>
      </c>
      <c r="B925" s="102" t="e">
        <f t="shared" ca="1" si="169"/>
        <v>#REF!</v>
      </c>
      <c r="C925" s="102" t="e">
        <f t="shared" ca="1" si="170"/>
        <v>#REF!</v>
      </c>
      <c r="D925" s="102" t="e">
        <f t="shared" ca="1" si="171"/>
        <v>#REF!</v>
      </c>
      <c r="E925" s="102" t="e">
        <f t="shared" ca="1" si="172"/>
        <v>#REF!</v>
      </c>
      <c r="F925" s="102" t="e">
        <f t="shared" ca="1" si="173"/>
        <v>#REF!</v>
      </c>
      <c r="G925" s="103">
        <f t="shared" ca="1" si="174"/>
        <v>0.42993356736002941</v>
      </c>
      <c r="H925" s="103">
        <f t="shared" ca="1" si="175"/>
        <v>0.19124816774173084</v>
      </c>
      <c r="I925" s="103" t="e">
        <f t="shared" ca="1" si="176"/>
        <v>#REF!</v>
      </c>
      <c r="J925" s="103" t="e">
        <f t="shared" ca="1" si="177"/>
        <v>#REF!</v>
      </c>
      <c r="K925" s="103" t="e">
        <f t="shared" ca="1" si="178"/>
        <v>#REF!</v>
      </c>
      <c r="L925" s="103" t="e">
        <f t="shared" ca="1" si="179"/>
        <v>#REF!</v>
      </c>
      <c r="M925" s="103" t="e">
        <f t="shared" ca="1" si="180"/>
        <v>#REF!</v>
      </c>
      <c r="N925" s="104" t="e">
        <f t="shared" ca="1" si="181"/>
        <v>#REF!</v>
      </c>
    </row>
    <row r="926" spans="1:14">
      <c r="A926" s="96">
        <v>888</v>
      </c>
      <c r="B926" s="102" t="e">
        <f t="shared" ca="1" si="169"/>
        <v>#REF!</v>
      </c>
      <c r="C926" s="102" t="e">
        <f t="shared" ca="1" si="170"/>
        <v>#REF!</v>
      </c>
      <c r="D926" s="102" t="e">
        <f t="shared" ca="1" si="171"/>
        <v>#REF!</v>
      </c>
      <c r="E926" s="102" t="e">
        <f t="shared" ca="1" si="172"/>
        <v>#REF!</v>
      </c>
      <c r="F926" s="102" t="e">
        <f t="shared" ca="1" si="173"/>
        <v>#REF!</v>
      </c>
      <c r="G926" s="103">
        <f t="shared" ca="1" si="174"/>
        <v>0.43438456061646713</v>
      </c>
      <c r="H926" s="103">
        <f t="shared" ca="1" si="175"/>
        <v>0.20722931720076024</v>
      </c>
      <c r="I926" s="103" t="e">
        <f t="shared" ca="1" si="176"/>
        <v>#REF!</v>
      </c>
      <c r="J926" s="103" t="e">
        <f t="shared" ca="1" si="177"/>
        <v>#REF!</v>
      </c>
      <c r="K926" s="103" t="e">
        <f t="shared" ca="1" si="178"/>
        <v>#REF!</v>
      </c>
      <c r="L926" s="103" t="e">
        <f t="shared" ca="1" si="179"/>
        <v>#REF!</v>
      </c>
      <c r="M926" s="103" t="e">
        <f t="shared" ca="1" si="180"/>
        <v>#REF!</v>
      </c>
      <c r="N926" s="104" t="e">
        <f t="shared" ca="1" si="181"/>
        <v>#REF!</v>
      </c>
    </row>
    <row r="927" spans="1:14">
      <c r="A927" s="95">
        <v>889</v>
      </c>
      <c r="B927" s="102" t="e">
        <f t="shared" ca="1" si="169"/>
        <v>#REF!</v>
      </c>
      <c r="C927" s="102" t="e">
        <f t="shared" ca="1" si="170"/>
        <v>#REF!</v>
      </c>
      <c r="D927" s="102" t="e">
        <f t="shared" ca="1" si="171"/>
        <v>#REF!</v>
      </c>
      <c r="E927" s="102" t="e">
        <f t="shared" ca="1" si="172"/>
        <v>#REF!</v>
      </c>
      <c r="F927" s="102" t="e">
        <f t="shared" ca="1" si="173"/>
        <v>#REF!</v>
      </c>
      <c r="G927" s="103">
        <f t="shared" ca="1" si="174"/>
        <v>0.43227412766544276</v>
      </c>
      <c r="H927" s="103">
        <f t="shared" ca="1" si="175"/>
        <v>0.22014860834387634</v>
      </c>
      <c r="I927" s="103" t="e">
        <f t="shared" ca="1" si="176"/>
        <v>#REF!</v>
      </c>
      <c r="J927" s="103" t="e">
        <f t="shared" ca="1" si="177"/>
        <v>#REF!</v>
      </c>
      <c r="K927" s="103" t="e">
        <f t="shared" ca="1" si="178"/>
        <v>#REF!</v>
      </c>
      <c r="L927" s="103" t="e">
        <f t="shared" ca="1" si="179"/>
        <v>#REF!</v>
      </c>
      <c r="M927" s="103" t="e">
        <f t="shared" ca="1" si="180"/>
        <v>#REF!</v>
      </c>
      <c r="N927" s="104" t="e">
        <f t="shared" ca="1" si="181"/>
        <v>#REF!</v>
      </c>
    </row>
    <row r="928" spans="1:14">
      <c r="A928" s="96">
        <v>890</v>
      </c>
      <c r="B928" s="102" t="e">
        <f t="shared" ca="1" si="169"/>
        <v>#REF!</v>
      </c>
      <c r="C928" s="102" t="e">
        <f t="shared" ca="1" si="170"/>
        <v>#REF!</v>
      </c>
      <c r="D928" s="102" t="e">
        <f t="shared" ca="1" si="171"/>
        <v>#REF!</v>
      </c>
      <c r="E928" s="102" t="e">
        <f t="shared" ca="1" si="172"/>
        <v>#REF!</v>
      </c>
      <c r="F928" s="102" t="e">
        <f t="shared" ca="1" si="173"/>
        <v>#REF!</v>
      </c>
      <c r="G928" s="103">
        <f t="shared" ca="1" si="174"/>
        <v>0.41707729413992378</v>
      </c>
      <c r="H928" s="103">
        <f t="shared" ca="1" si="175"/>
        <v>0.20862951239863436</v>
      </c>
      <c r="I928" s="103" t="e">
        <f t="shared" ca="1" si="176"/>
        <v>#REF!</v>
      </c>
      <c r="J928" s="103" t="e">
        <f t="shared" ca="1" si="177"/>
        <v>#REF!</v>
      </c>
      <c r="K928" s="103" t="e">
        <f t="shared" ca="1" si="178"/>
        <v>#REF!</v>
      </c>
      <c r="L928" s="103" t="e">
        <f t="shared" ca="1" si="179"/>
        <v>#REF!</v>
      </c>
      <c r="M928" s="103" t="e">
        <f t="shared" ca="1" si="180"/>
        <v>#REF!</v>
      </c>
      <c r="N928" s="104" t="e">
        <f t="shared" ca="1" si="181"/>
        <v>#REF!</v>
      </c>
    </row>
    <row r="929" spans="1:14">
      <c r="A929" s="95">
        <v>891</v>
      </c>
      <c r="B929" s="102" t="e">
        <f t="shared" ca="1" si="169"/>
        <v>#REF!</v>
      </c>
      <c r="C929" s="102" t="e">
        <f t="shared" ca="1" si="170"/>
        <v>#REF!</v>
      </c>
      <c r="D929" s="102" t="e">
        <f t="shared" ca="1" si="171"/>
        <v>#REF!</v>
      </c>
      <c r="E929" s="102" t="e">
        <f t="shared" ca="1" si="172"/>
        <v>#REF!</v>
      </c>
      <c r="F929" s="102" t="e">
        <f t="shared" ca="1" si="173"/>
        <v>#REF!</v>
      </c>
      <c r="G929" s="103">
        <f t="shared" ca="1" si="174"/>
        <v>0.40260525483462284</v>
      </c>
      <c r="H929" s="103">
        <f t="shared" ca="1" si="175"/>
        <v>0.19210712661229856</v>
      </c>
      <c r="I929" s="103" t="e">
        <f t="shared" ca="1" si="176"/>
        <v>#REF!</v>
      </c>
      <c r="J929" s="103" t="e">
        <f t="shared" ca="1" si="177"/>
        <v>#REF!</v>
      </c>
      <c r="K929" s="103" t="e">
        <f t="shared" ca="1" si="178"/>
        <v>#REF!</v>
      </c>
      <c r="L929" s="103" t="e">
        <f t="shared" ca="1" si="179"/>
        <v>#REF!</v>
      </c>
      <c r="M929" s="103" t="e">
        <f t="shared" ca="1" si="180"/>
        <v>#REF!</v>
      </c>
      <c r="N929" s="104" t="e">
        <f t="shared" ca="1" si="181"/>
        <v>#REF!</v>
      </c>
    </row>
    <row r="930" spans="1:14">
      <c r="A930" s="96">
        <v>892</v>
      </c>
      <c r="B930" s="102" t="e">
        <f t="shared" ca="1" si="169"/>
        <v>#REF!</v>
      </c>
      <c r="C930" s="102" t="e">
        <f t="shared" ca="1" si="170"/>
        <v>#REF!</v>
      </c>
      <c r="D930" s="102" t="e">
        <f t="shared" ca="1" si="171"/>
        <v>#REF!</v>
      </c>
      <c r="E930" s="102" t="e">
        <f t="shared" ca="1" si="172"/>
        <v>#REF!</v>
      </c>
      <c r="F930" s="102" t="e">
        <f t="shared" ca="1" si="173"/>
        <v>#REF!</v>
      </c>
      <c r="G930" s="103">
        <f t="shared" ca="1" si="174"/>
        <v>0.44899112136810637</v>
      </c>
      <c r="H930" s="103">
        <f t="shared" ca="1" si="175"/>
        <v>0.19275504604399116</v>
      </c>
      <c r="I930" s="103" t="e">
        <f t="shared" ca="1" si="176"/>
        <v>#REF!</v>
      </c>
      <c r="J930" s="103" t="e">
        <f t="shared" ca="1" si="177"/>
        <v>#REF!</v>
      </c>
      <c r="K930" s="103" t="e">
        <f t="shared" ca="1" si="178"/>
        <v>#REF!</v>
      </c>
      <c r="L930" s="103" t="e">
        <f t="shared" ca="1" si="179"/>
        <v>#REF!</v>
      </c>
      <c r="M930" s="103" t="e">
        <f t="shared" ca="1" si="180"/>
        <v>#REF!</v>
      </c>
      <c r="N930" s="104" t="e">
        <f t="shared" ca="1" si="181"/>
        <v>#REF!</v>
      </c>
    </row>
    <row r="931" spans="1:14">
      <c r="A931" s="95">
        <v>893</v>
      </c>
      <c r="B931" s="102" t="e">
        <f t="shared" ca="1" si="169"/>
        <v>#REF!</v>
      </c>
      <c r="C931" s="102" t="e">
        <f t="shared" ca="1" si="170"/>
        <v>#REF!</v>
      </c>
      <c r="D931" s="102" t="e">
        <f t="shared" ca="1" si="171"/>
        <v>#REF!</v>
      </c>
      <c r="E931" s="102" t="e">
        <f t="shared" ca="1" si="172"/>
        <v>#REF!</v>
      </c>
      <c r="F931" s="102" t="e">
        <f t="shared" ca="1" si="173"/>
        <v>#REF!</v>
      </c>
      <c r="G931" s="103">
        <f t="shared" ca="1" si="174"/>
        <v>0.44020240769092311</v>
      </c>
      <c r="H931" s="103">
        <f t="shared" ca="1" si="175"/>
        <v>0.20405434612073328</v>
      </c>
      <c r="I931" s="103" t="e">
        <f t="shared" ca="1" si="176"/>
        <v>#REF!</v>
      </c>
      <c r="J931" s="103" t="e">
        <f t="shared" ca="1" si="177"/>
        <v>#REF!</v>
      </c>
      <c r="K931" s="103" t="e">
        <f t="shared" ca="1" si="178"/>
        <v>#REF!</v>
      </c>
      <c r="L931" s="103" t="e">
        <f t="shared" ca="1" si="179"/>
        <v>#REF!</v>
      </c>
      <c r="M931" s="103" t="e">
        <f t="shared" ca="1" si="180"/>
        <v>#REF!</v>
      </c>
      <c r="N931" s="104" t="e">
        <f t="shared" ca="1" si="181"/>
        <v>#REF!</v>
      </c>
    </row>
    <row r="932" spans="1:14">
      <c r="A932" s="96">
        <v>894</v>
      </c>
      <c r="B932" s="102" t="e">
        <f t="shared" ca="1" si="169"/>
        <v>#REF!</v>
      </c>
      <c r="C932" s="102" t="e">
        <f t="shared" ca="1" si="170"/>
        <v>#REF!</v>
      </c>
      <c r="D932" s="102" t="e">
        <f t="shared" ca="1" si="171"/>
        <v>#REF!</v>
      </c>
      <c r="E932" s="102" t="e">
        <f t="shared" ca="1" si="172"/>
        <v>#REF!</v>
      </c>
      <c r="F932" s="102" t="e">
        <f t="shared" ca="1" si="173"/>
        <v>#REF!</v>
      </c>
      <c r="G932" s="103">
        <f t="shared" ca="1" si="174"/>
        <v>0.4378494351785166</v>
      </c>
      <c r="H932" s="103">
        <f t="shared" ca="1" si="175"/>
        <v>0.21724673676883358</v>
      </c>
      <c r="I932" s="103" t="e">
        <f t="shared" ca="1" si="176"/>
        <v>#REF!</v>
      </c>
      <c r="J932" s="103" t="e">
        <f t="shared" ca="1" si="177"/>
        <v>#REF!</v>
      </c>
      <c r="K932" s="103" t="e">
        <f t="shared" ca="1" si="178"/>
        <v>#REF!</v>
      </c>
      <c r="L932" s="103" t="e">
        <f t="shared" ca="1" si="179"/>
        <v>#REF!</v>
      </c>
      <c r="M932" s="103" t="e">
        <f t="shared" ca="1" si="180"/>
        <v>#REF!</v>
      </c>
      <c r="N932" s="104" t="e">
        <f t="shared" ca="1" si="181"/>
        <v>#REF!</v>
      </c>
    </row>
    <row r="933" spans="1:14">
      <c r="A933" s="95">
        <v>895</v>
      </c>
      <c r="B933" s="102" t="e">
        <f t="shared" ca="1" si="169"/>
        <v>#REF!</v>
      </c>
      <c r="C933" s="102" t="e">
        <f t="shared" ca="1" si="170"/>
        <v>#REF!</v>
      </c>
      <c r="D933" s="102" t="e">
        <f t="shared" ca="1" si="171"/>
        <v>#REF!</v>
      </c>
      <c r="E933" s="102" t="e">
        <f t="shared" ca="1" si="172"/>
        <v>#REF!</v>
      </c>
      <c r="F933" s="102" t="e">
        <f t="shared" ca="1" si="173"/>
        <v>#REF!</v>
      </c>
      <c r="G933" s="103">
        <f t="shared" ca="1" si="174"/>
        <v>0.40451743294595005</v>
      </c>
      <c r="H933" s="103">
        <f t="shared" ca="1" si="175"/>
        <v>0.20998187395304491</v>
      </c>
      <c r="I933" s="103" t="e">
        <f t="shared" ca="1" si="176"/>
        <v>#REF!</v>
      </c>
      <c r="J933" s="103" t="e">
        <f t="shared" ca="1" si="177"/>
        <v>#REF!</v>
      </c>
      <c r="K933" s="103" t="e">
        <f t="shared" ca="1" si="178"/>
        <v>#REF!</v>
      </c>
      <c r="L933" s="103" t="e">
        <f t="shared" ca="1" si="179"/>
        <v>#REF!</v>
      </c>
      <c r="M933" s="103" t="e">
        <f t="shared" ca="1" si="180"/>
        <v>#REF!</v>
      </c>
      <c r="N933" s="104" t="e">
        <f t="shared" ca="1" si="181"/>
        <v>#REF!</v>
      </c>
    </row>
    <row r="934" spans="1:14">
      <c r="A934" s="96">
        <v>896</v>
      </c>
      <c r="B934" s="102" t="e">
        <f t="shared" ca="1" si="169"/>
        <v>#REF!</v>
      </c>
      <c r="C934" s="102" t="e">
        <f t="shared" ca="1" si="170"/>
        <v>#REF!</v>
      </c>
      <c r="D934" s="102" t="e">
        <f t="shared" ca="1" si="171"/>
        <v>#REF!</v>
      </c>
      <c r="E934" s="102" t="e">
        <f t="shared" ca="1" si="172"/>
        <v>#REF!</v>
      </c>
      <c r="F934" s="102" t="e">
        <f t="shared" ca="1" si="173"/>
        <v>#REF!</v>
      </c>
      <c r="G934" s="103">
        <f t="shared" ca="1" si="174"/>
        <v>0.43781019425242085</v>
      </c>
      <c r="H934" s="103">
        <f t="shared" ca="1" si="175"/>
        <v>0.19228131447733365</v>
      </c>
      <c r="I934" s="103" t="e">
        <f t="shared" ca="1" si="176"/>
        <v>#REF!</v>
      </c>
      <c r="J934" s="103" t="e">
        <f t="shared" ca="1" si="177"/>
        <v>#REF!</v>
      </c>
      <c r="K934" s="103" t="e">
        <f t="shared" ca="1" si="178"/>
        <v>#REF!</v>
      </c>
      <c r="L934" s="103" t="e">
        <f t="shared" ca="1" si="179"/>
        <v>#REF!</v>
      </c>
      <c r="M934" s="103" t="e">
        <f t="shared" ca="1" si="180"/>
        <v>#REF!</v>
      </c>
      <c r="N934" s="104" t="e">
        <f t="shared" ca="1" si="181"/>
        <v>#REF!</v>
      </c>
    </row>
    <row r="935" spans="1:14">
      <c r="A935" s="95">
        <v>897</v>
      </c>
      <c r="B935" s="102" t="e">
        <f t="shared" ca="1" si="169"/>
        <v>#REF!</v>
      </c>
      <c r="C935" s="102" t="e">
        <f t="shared" ca="1" si="170"/>
        <v>#REF!</v>
      </c>
      <c r="D935" s="102" t="e">
        <f t="shared" ca="1" si="171"/>
        <v>#REF!</v>
      </c>
      <c r="E935" s="102" t="e">
        <f t="shared" ca="1" si="172"/>
        <v>#REF!</v>
      </c>
      <c r="F935" s="102" t="e">
        <f t="shared" ca="1" si="173"/>
        <v>#REF!</v>
      </c>
      <c r="G935" s="103">
        <f t="shared" ca="1" si="174"/>
        <v>0.44764214670155317</v>
      </c>
      <c r="H935" s="103">
        <f t="shared" ca="1" si="175"/>
        <v>0.21010144315597065</v>
      </c>
      <c r="I935" s="103" t="e">
        <f t="shared" ca="1" si="176"/>
        <v>#REF!</v>
      </c>
      <c r="J935" s="103" t="e">
        <f t="shared" ca="1" si="177"/>
        <v>#REF!</v>
      </c>
      <c r="K935" s="103" t="e">
        <f t="shared" ca="1" si="178"/>
        <v>#REF!</v>
      </c>
      <c r="L935" s="103" t="e">
        <f t="shared" ca="1" si="179"/>
        <v>#REF!</v>
      </c>
      <c r="M935" s="103" t="e">
        <f t="shared" ca="1" si="180"/>
        <v>#REF!</v>
      </c>
      <c r="N935" s="104" t="e">
        <f t="shared" ca="1" si="181"/>
        <v>#REF!</v>
      </c>
    </row>
    <row r="936" spans="1:14">
      <c r="A936" s="96">
        <v>898</v>
      </c>
      <c r="B936" s="102" t="e">
        <f t="shared" ref="B936:B999" ca="1" si="182">_xlfn.LOGNORM.INV(RAND(),$D$5,$E$5)</f>
        <v>#REF!</v>
      </c>
      <c r="C936" s="102" t="e">
        <f t="shared" ref="C936:C999" ca="1" si="183">_xlfn.LOGNORM.INV(RAND(),$D$6,$E$6)</f>
        <v>#REF!</v>
      </c>
      <c r="D936" s="102" t="e">
        <f t="shared" ref="D936:D999" ca="1" si="184">_xlfn.LOGNORM.INV(RAND(),$D$7,$E$7)</f>
        <v>#REF!</v>
      </c>
      <c r="E936" s="102" t="e">
        <f t="shared" ref="E936:E999" ca="1" si="185">_xlfn.LOGNORM.INV(RAND(),$D$8,$E$8)</f>
        <v>#REF!</v>
      </c>
      <c r="F936" s="102" t="e">
        <f t="shared" ref="F936:F999" ca="1" si="186">_xlfn.LOGNORM.INV(RAND(),$D$9,$E$9)</f>
        <v>#REF!</v>
      </c>
      <c r="G936" s="103">
        <f t="shared" ref="G936:G999" ca="1" si="187">_xlfn.NORM.INV(RAND(),$B$12,$C$12)</f>
        <v>0.44763390200633685</v>
      </c>
      <c r="H936" s="103">
        <f t="shared" ref="H936:H999" ca="1" si="188">_xlfn.NORM.INV(RAND(),$B$13,$C$13)</f>
        <v>0.19258296165579494</v>
      </c>
      <c r="I936" s="103" t="e">
        <f t="shared" ref="I936:I999" ca="1" si="189">G936*($E$16/24)+H936*(1-$E$16/24)</f>
        <v>#REF!</v>
      </c>
      <c r="J936" s="103" t="e">
        <f t="shared" ref="J936:J999" ca="1" si="190">G936*($E$17/24)+H936*(1-$E$17/24)</f>
        <v>#REF!</v>
      </c>
      <c r="K936" s="103" t="e">
        <f t="shared" ref="K936:K999" ca="1" si="191">G936*($E$18/24)+H936*(1-$E$18/24)</f>
        <v>#REF!</v>
      </c>
      <c r="L936" s="103" t="e">
        <f t="shared" ref="L936:L999" ca="1" si="192">G936*($E$19/24)+H936*(1-$E$19/24)</f>
        <v>#REF!</v>
      </c>
      <c r="M936" s="103" t="e">
        <f t="shared" ref="M936:M999" ca="1" si="193">G936*($E$20/24)+H936*(1-$E$20/24)</f>
        <v>#REF!</v>
      </c>
      <c r="N936" s="104" t="e">
        <f t="shared" ref="N936:N999" ca="1" si="194">B936*$B$16+C936*$B$17+D936*$B$18+E936*$B$19+F936*$B$20-($C$16*$D$16*I936+$C$17*$D$17*J936+$C$18*$D$18*K936+$C$19*$D$19*L936+$C$20*$D$20*M936)</f>
        <v>#REF!</v>
      </c>
    </row>
    <row r="937" spans="1:14">
      <c r="A937" s="95">
        <v>899</v>
      </c>
      <c r="B937" s="102" t="e">
        <f t="shared" ca="1" si="182"/>
        <v>#REF!</v>
      </c>
      <c r="C937" s="102" t="e">
        <f t="shared" ca="1" si="183"/>
        <v>#REF!</v>
      </c>
      <c r="D937" s="102" t="e">
        <f t="shared" ca="1" si="184"/>
        <v>#REF!</v>
      </c>
      <c r="E937" s="102" t="e">
        <f t="shared" ca="1" si="185"/>
        <v>#REF!</v>
      </c>
      <c r="F937" s="102" t="e">
        <f t="shared" ca="1" si="186"/>
        <v>#REF!</v>
      </c>
      <c r="G937" s="103">
        <f t="shared" ca="1" si="187"/>
        <v>0.45289308412450691</v>
      </c>
      <c r="H937" s="103">
        <f t="shared" ca="1" si="188"/>
        <v>0.21046011259548844</v>
      </c>
      <c r="I937" s="103" t="e">
        <f t="shared" ca="1" si="189"/>
        <v>#REF!</v>
      </c>
      <c r="J937" s="103" t="e">
        <f t="shared" ca="1" si="190"/>
        <v>#REF!</v>
      </c>
      <c r="K937" s="103" t="e">
        <f t="shared" ca="1" si="191"/>
        <v>#REF!</v>
      </c>
      <c r="L937" s="103" t="e">
        <f t="shared" ca="1" si="192"/>
        <v>#REF!</v>
      </c>
      <c r="M937" s="103" t="e">
        <f t="shared" ca="1" si="193"/>
        <v>#REF!</v>
      </c>
      <c r="N937" s="104" t="e">
        <f t="shared" ca="1" si="194"/>
        <v>#REF!</v>
      </c>
    </row>
    <row r="938" spans="1:14">
      <c r="A938" s="96">
        <v>900</v>
      </c>
      <c r="B938" s="102" t="e">
        <f t="shared" ca="1" si="182"/>
        <v>#REF!</v>
      </c>
      <c r="C938" s="102" t="e">
        <f t="shared" ca="1" si="183"/>
        <v>#REF!</v>
      </c>
      <c r="D938" s="102" t="e">
        <f t="shared" ca="1" si="184"/>
        <v>#REF!</v>
      </c>
      <c r="E938" s="102" t="e">
        <f t="shared" ca="1" si="185"/>
        <v>#REF!</v>
      </c>
      <c r="F938" s="102" t="e">
        <f t="shared" ca="1" si="186"/>
        <v>#REF!</v>
      </c>
      <c r="G938" s="103">
        <f t="shared" ca="1" si="187"/>
        <v>0.38716184579092983</v>
      </c>
      <c r="H938" s="103">
        <f t="shared" ca="1" si="188"/>
        <v>0.21367604660367442</v>
      </c>
      <c r="I938" s="103" t="e">
        <f t="shared" ca="1" si="189"/>
        <v>#REF!</v>
      </c>
      <c r="J938" s="103" t="e">
        <f t="shared" ca="1" si="190"/>
        <v>#REF!</v>
      </c>
      <c r="K938" s="103" t="e">
        <f t="shared" ca="1" si="191"/>
        <v>#REF!</v>
      </c>
      <c r="L938" s="103" t="e">
        <f t="shared" ca="1" si="192"/>
        <v>#REF!</v>
      </c>
      <c r="M938" s="103" t="e">
        <f t="shared" ca="1" si="193"/>
        <v>#REF!</v>
      </c>
      <c r="N938" s="104" t="e">
        <f t="shared" ca="1" si="194"/>
        <v>#REF!</v>
      </c>
    </row>
    <row r="939" spans="1:14">
      <c r="A939" s="95">
        <v>901</v>
      </c>
      <c r="B939" s="102" t="e">
        <f t="shared" ca="1" si="182"/>
        <v>#REF!</v>
      </c>
      <c r="C939" s="102" t="e">
        <f t="shared" ca="1" si="183"/>
        <v>#REF!</v>
      </c>
      <c r="D939" s="102" t="e">
        <f t="shared" ca="1" si="184"/>
        <v>#REF!</v>
      </c>
      <c r="E939" s="102" t="e">
        <f t="shared" ca="1" si="185"/>
        <v>#REF!</v>
      </c>
      <c r="F939" s="102" t="e">
        <f t="shared" ca="1" si="186"/>
        <v>#REF!</v>
      </c>
      <c r="G939" s="103">
        <f t="shared" ca="1" si="187"/>
        <v>0.44539831951824171</v>
      </c>
      <c r="H939" s="103">
        <f t="shared" ca="1" si="188"/>
        <v>0.19668555499902096</v>
      </c>
      <c r="I939" s="103" t="e">
        <f t="shared" ca="1" si="189"/>
        <v>#REF!</v>
      </c>
      <c r="J939" s="103" t="e">
        <f t="shared" ca="1" si="190"/>
        <v>#REF!</v>
      </c>
      <c r="K939" s="103" t="e">
        <f t="shared" ca="1" si="191"/>
        <v>#REF!</v>
      </c>
      <c r="L939" s="103" t="e">
        <f t="shared" ca="1" si="192"/>
        <v>#REF!</v>
      </c>
      <c r="M939" s="103" t="e">
        <f t="shared" ca="1" si="193"/>
        <v>#REF!</v>
      </c>
      <c r="N939" s="104" t="e">
        <f t="shared" ca="1" si="194"/>
        <v>#REF!</v>
      </c>
    </row>
    <row r="940" spans="1:14">
      <c r="A940" s="96">
        <v>902</v>
      </c>
      <c r="B940" s="102" t="e">
        <f t="shared" ca="1" si="182"/>
        <v>#REF!</v>
      </c>
      <c r="C940" s="102" t="e">
        <f t="shared" ca="1" si="183"/>
        <v>#REF!</v>
      </c>
      <c r="D940" s="102" t="e">
        <f t="shared" ca="1" si="184"/>
        <v>#REF!</v>
      </c>
      <c r="E940" s="102" t="e">
        <f t="shared" ca="1" si="185"/>
        <v>#REF!</v>
      </c>
      <c r="F940" s="102" t="e">
        <f t="shared" ca="1" si="186"/>
        <v>#REF!</v>
      </c>
      <c r="G940" s="103">
        <f t="shared" ca="1" si="187"/>
        <v>0.42975236383589166</v>
      </c>
      <c r="H940" s="103">
        <f t="shared" ca="1" si="188"/>
        <v>0.17254998618677098</v>
      </c>
      <c r="I940" s="103" t="e">
        <f t="shared" ca="1" si="189"/>
        <v>#REF!</v>
      </c>
      <c r="J940" s="103" t="e">
        <f t="shared" ca="1" si="190"/>
        <v>#REF!</v>
      </c>
      <c r="K940" s="103" t="e">
        <f t="shared" ca="1" si="191"/>
        <v>#REF!</v>
      </c>
      <c r="L940" s="103" t="e">
        <f t="shared" ca="1" si="192"/>
        <v>#REF!</v>
      </c>
      <c r="M940" s="103" t="e">
        <f t="shared" ca="1" si="193"/>
        <v>#REF!</v>
      </c>
      <c r="N940" s="104" t="e">
        <f t="shared" ca="1" si="194"/>
        <v>#REF!</v>
      </c>
    </row>
    <row r="941" spans="1:14">
      <c r="A941" s="95">
        <v>903</v>
      </c>
      <c r="B941" s="102" t="e">
        <f t="shared" ca="1" si="182"/>
        <v>#REF!</v>
      </c>
      <c r="C941" s="102" t="e">
        <f t="shared" ca="1" si="183"/>
        <v>#REF!</v>
      </c>
      <c r="D941" s="102" t="e">
        <f t="shared" ca="1" si="184"/>
        <v>#REF!</v>
      </c>
      <c r="E941" s="102" t="e">
        <f t="shared" ca="1" si="185"/>
        <v>#REF!</v>
      </c>
      <c r="F941" s="102" t="e">
        <f t="shared" ca="1" si="186"/>
        <v>#REF!</v>
      </c>
      <c r="G941" s="103">
        <f t="shared" ca="1" si="187"/>
        <v>0.45402618221558</v>
      </c>
      <c r="H941" s="103">
        <f t="shared" ca="1" si="188"/>
        <v>0.21126207250144965</v>
      </c>
      <c r="I941" s="103" t="e">
        <f t="shared" ca="1" si="189"/>
        <v>#REF!</v>
      </c>
      <c r="J941" s="103" t="e">
        <f t="shared" ca="1" si="190"/>
        <v>#REF!</v>
      </c>
      <c r="K941" s="103" t="e">
        <f t="shared" ca="1" si="191"/>
        <v>#REF!</v>
      </c>
      <c r="L941" s="103" t="e">
        <f t="shared" ca="1" si="192"/>
        <v>#REF!</v>
      </c>
      <c r="M941" s="103" t="e">
        <f t="shared" ca="1" si="193"/>
        <v>#REF!</v>
      </c>
      <c r="N941" s="104" t="e">
        <f t="shared" ca="1" si="194"/>
        <v>#REF!</v>
      </c>
    </row>
    <row r="942" spans="1:14">
      <c r="A942" s="96">
        <v>904</v>
      </c>
      <c r="B942" s="102" t="e">
        <f t="shared" ca="1" si="182"/>
        <v>#REF!</v>
      </c>
      <c r="C942" s="102" t="e">
        <f t="shared" ca="1" si="183"/>
        <v>#REF!</v>
      </c>
      <c r="D942" s="102" t="e">
        <f t="shared" ca="1" si="184"/>
        <v>#REF!</v>
      </c>
      <c r="E942" s="102" t="e">
        <f t="shared" ca="1" si="185"/>
        <v>#REF!</v>
      </c>
      <c r="F942" s="102" t="e">
        <f t="shared" ca="1" si="186"/>
        <v>#REF!</v>
      </c>
      <c r="G942" s="103">
        <f t="shared" ca="1" si="187"/>
        <v>0.45278670546850175</v>
      </c>
      <c r="H942" s="103">
        <f t="shared" ca="1" si="188"/>
        <v>0.18209828767744635</v>
      </c>
      <c r="I942" s="103" t="e">
        <f t="shared" ca="1" si="189"/>
        <v>#REF!</v>
      </c>
      <c r="J942" s="103" t="e">
        <f t="shared" ca="1" si="190"/>
        <v>#REF!</v>
      </c>
      <c r="K942" s="103" t="e">
        <f t="shared" ca="1" si="191"/>
        <v>#REF!</v>
      </c>
      <c r="L942" s="103" t="e">
        <f t="shared" ca="1" si="192"/>
        <v>#REF!</v>
      </c>
      <c r="M942" s="103" t="e">
        <f t="shared" ca="1" si="193"/>
        <v>#REF!</v>
      </c>
      <c r="N942" s="104" t="e">
        <f t="shared" ca="1" si="194"/>
        <v>#REF!</v>
      </c>
    </row>
    <row r="943" spans="1:14">
      <c r="A943" s="95">
        <v>905</v>
      </c>
      <c r="B943" s="102" t="e">
        <f t="shared" ca="1" si="182"/>
        <v>#REF!</v>
      </c>
      <c r="C943" s="102" t="e">
        <f t="shared" ca="1" si="183"/>
        <v>#REF!</v>
      </c>
      <c r="D943" s="102" t="e">
        <f t="shared" ca="1" si="184"/>
        <v>#REF!</v>
      </c>
      <c r="E943" s="102" t="e">
        <f t="shared" ca="1" si="185"/>
        <v>#REF!</v>
      </c>
      <c r="F943" s="102" t="e">
        <f t="shared" ca="1" si="186"/>
        <v>#REF!</v>
      </c>
      <c r="G943" s="103">
        <f t="shared" ca="1" si="187"/>
        <v>0.45811538306281058</v>
      </c>
      <c r="H943" s="103">
        <f t="shared" ca="1" si="188"/>
        <v>0.2101939368098571</v>
      </c>
      <c r="I943" s="103" t="e">
        <f t="shared" ca="1" si="189"/>
        <v>#REF!</v>
      </c>
      <c r="J943" s="103" t="e">
        <f t="shared" ca="1" si="190"/>
        <v>#REF!</v>
      </c>
      <c r="K943" s="103" t="e">
        <f t="shared" ca="1" si="191"/>
        <v>#REF!</v>
      </c>
      <c r="L943" s="103" t="e">
        <f t="shared" ca="1" si="192"/>
        <v>#REF!</v>
      </c>
      <c r="M943" s="103" t="e">
        <f t="shared" ca="1" si="193"/>
        <v>#REF!</v>
      </c>
      <c r="N943" s="104" t="e">
        <f t="shared" ca="1" si="194"/>
        <v>#REF!</v>
      </c>
    </row>
    <row r="944" spans="1:14">
      <c r="A944" s="96">
        <v>906</v>
      </c>
      <c r="B944" s="102" t="e">
        <f t="shared" ca="1" si="182"/>
        <v>#REF!</v>
      </c>
      <c r="C944" s="102" t="e">
        <f t="shared" ca="1" si="183"/>
        <v>#REF!</v>
      </c>
      <c r="D944" s="102" t="e">
        <f t="shared" ca="1" si="184"/>
        <v>#REF!</v>
      </c>
      <c r="E944" s="102" t="e">
        <f t="shared" ca="1" si="185"/>
        <v>#REF!</v>
      </c>
      <c r="F944" s="102" t="e">
        <f t="shared" ca="1" si="186"/>
        <v>#REF!</v>
      </c>
      <c r="G944" s="103">
        <f t="shared" ca="1" si="187"/>
        <v>0.43503765445693682</v>
      </c>
      <c r="H944" s="103">
        <f t="shared" ca="1" si="188"/>
        <v>0.21090835860499957</v>
      </c>
      <c r="I944" s="103" t="e">
        <f t="shared" ca="1" si="189"/>
        <v>#REF!</v>
      </c>
      <c r="J944" s="103" t="e">
        <f t="shared" ca="1" si="190"/>
        <v>#REF!</v>
      </c>
      <c r="K944" s="103" t="e">
        <f t="shared" ca="1" si="191"/>
        <v>#REF!</v>
      </c>
      <c r="L944" s="103" t="e">
        <f t="shared" ca="1" si="192"/>
        <v>#REF!</v>
      </c>
      <c r="M944" s="103" t="e">
        <f t="shared" ca="1" si="193"/>
        <v>#REF!</v>
      </c>
      <c r="N944" s="104" t="e">
        <f t="shared" ca="1" si="194"/>
        <v>#REF!</v>
      </c>
    </row>
    <row r="945" spans="1:14">
      <c r="A945" s="95">
        <v>907</v>
      </c>
      <c r="B945" s="102" t="e">
        <f t="shared" ca="1" si="182"/>
        <v>#REF!</v>
      </c>
      <c r="C945" s="102" t="e">
        <f t="shared" ca="1" si="183"/>
        <v>#REF!</v>
      </c>
      <c r="D945" s="102" t="e">
        <f t="shared" ca="1" si="184"/>
        <v>#REF!</v>
      </c>
      <c r="E945" s="102" t="e">
        <f t="shared" ca="1" si="185"/>
        <v>#REF!</v>
      </c>
      <c r="F945" s="102" t="e">
        <f t="shared" ca="1" si="186"/>
        <v>#REF!</v>
      </c>
      <c r="G945" s="103">
        <f t="shared" ca="1" si="187"/>
        <v>0.39628110691971474</v>
      </c>
      <c r="H945" s="103">
        <f t="shared" ca="1" si="188"/>
        <v>0.19759310088571574</v>
      </c>
      <c r="I945" s="103" t="e">
        <f t="shared" ca="1" si="189"/>
        <v>#REF!</v>
      </c>
      <c r="J945" s="103" t="e">
        <f t="shared" ca="1" si="190"/>
        <v>#REF!</v>
      </c>
      <c r="K945" s="103" t="e">
        <f t="shared" ca="1" si="191"/>
        <v>#REF!</v>
      </c>
      <c r="L945" s="103" t="e">
        <f t="shared" ca="1" si="192"/>
        <v>#REF!</v>
      </c>
      <c r="M945" s="103" t="e">
        <f t="shared" ca="1" si="193"/>
        <v>#REF!</v>
      </c>
      <c r="N945" s="104" t="e">
        <f t="shared" ca="1" si="194"/>
        <v>#REF!</v>
      </c>
    </row>
    <row r="946" spans="1:14">
      <c r="A946" s="96">
        <v>908</v>
      </c>
      <c r="B946" s="102" t="e">
        <f t="shared" ca="1" si="182"/>
        <v>#REF!</v>
      </c>
      <c r="C946" s="102" t="e">
        <f t="shared" ca="1" si="183"/>
        <v>#REF!</v>
      </c>
      <c r="D946" s="102" t="e">
        <f t="shared" ca="1" si="184"/>
        <v>#REF!</v>
      </c>
      <c r="E946" s="102" t="e">
        <f t="shared" ca="1" si="185"/>
        <v>#REF!</v>
      </c>
      <c r="F946" s="102" t="e">
        <f t="shared" ca="1" si="186"/>
        <v>#REF!</v>
      </c>
      <c r="G946" s="103">
        <f t="shared" ca="1" si="187"/>
        <v>0.48696633581148291</v>
      </c>
      <c r="H946" s="103">
        <f t="shared" ca="1" si="188"/>
        <v>0.22061181539192298</v>
      </c>
      <c r="I946" s="103" t="e">
        <f t="shared" ca="1" si="189"/>
        <v>#REF!</v>
      </c>
      <c r="J946" s="103" t="e">
        <f t="shared" ca="1" si="190"/>
        <v>#REF!</v>
      </c>
      <c r="K946" s="103" t="e">
        <f t="shared" ca="1" si="191"/>
        <v>#REF!</v>
      </c>
      <c r="L946" s="103" t="e">
        <f t="shared" ca="1" si="192"/>
        <v>#REF!</v>
      </c>
      <c r="M946" s="103" t="e">
        <f t="shared" ca="1" si="193"/>
        <v>#REF!</v>
      </c>
      <c r="N946" s="104" t="e">
        <f t="shared" ca="1" si="194"/>
        <v>#REF!</v>
      </c>
    </row>
    <row r="947" spans="1:14">
      <c r="A947" s="95">
        <v>909</v>
      </c>
      <c r="B947" s="102" t="e">
        <f t="shared" ca="1" si="182"/>
        <v>#REF!</v>
      </c>
      <c r="C947" s="102" t="e">
        <f t="shared" ca="1" si="183"/>
        <v>#REF!</v>
      </c>
      <c r="D947" s="102" t="e">
        <f t="shared" ca="1" si="184"/>
        <v>#REF!</v>
      </c>
      <c r="E947" s="102" t="e">
        <f t="shared" ca="1" si="185"/>
        <v>#REF!</v>
      </c>
      <c r="F947" s="102" t="e">
        <f t="shared" ca="1" si="186"/>
        <v>#REF!</v>
      </c>
      <c r="G947" s="103">
        <f t="shared" ca="1" si="187"/>
        <v>0.46105499634083008</v>
      </c>
      <c r="H947" s="103">
        <f t="shared" ca="1" si="188"/>
        <v>0.20621858899532966</v>
      </c>
      <c r="I947" s="103" t="e">
        <f t="shared" ca="1" si="189"/>
        <v>#REF!</v>
      </c>
      <c r="J947" s="103" t="e">
        <f t="shared" ca="1" si="190"/>
        <v>#REF!</v>
      </c>
      <c r="K947" s="103" t="e">
        <f t="shared" ca="1" si="191"/>
        <v>#REF!</v>
      </c>
      <c r="L947" s="103" t="e">
        <f t="shared" ca="1" si="192"/>
        <v>#REF!</v>
      </c>
      <c r="M947" s="103" t="e">
        <f t="shared" ca="1" si="193"/>
        <v>#REF!</v>
      </c>
      <c r="N947" s="104" t="e">
        <f t="shared" ca="1" si="194"/>
        <v>#REF!</v>
      </c>
    </row>
    <row r="948" spans="1:14">
      <c r="A948" s="96">
        <v>910</v>
      </c>
      <c r="B948" s="102" t="e">
        <f t="shared" ca="1" si="182"/>
        <v>#REF!</v>
      </c>
      <c r="C948" s="102" t="e">
        <f t="shared" ca="1" si="183"/>
        <v>#REF!</v>
      </c>
      <c r="D948" s="102" t="e">
        <f t="shared" ca="1" si="184"/>
        <v>#REF!</v>
      </c>
      <c r="E948" s="102" t="e">
        <f t="shared" ca="1" si="185"/>
        <v>#REF!</v>
      </c>
      <c r="F948" s="102" t="e">
        <f t="shared" ca="1" si="186"/>
        <v>#REF!</v>
      </c>
      <c r="G948" s="103">
        <f t="shared" ca="1" si="187"/>
        <v>0.42715773242372812</v>
      </c>
      <c r="H948" s="103">
        <f t="shared" ca="1" si="188"/>
        <v>0.20365479899707087</v>
      </c>
      <c r="I948" s="103" t="e">
        <f t="shared" ca="1" si="189"/>
        <v>#REF!</v>
      </c>
      <c r="J948" s="103" t="e">
        <f t="shared" ca="1" si="190"/>
        <v>#REF!</v>
      </c>
      <c r="K948" s="103" t="e">
        <f t="shared" ca="1" si="191"/>
        <v>#REF!</v>
      </c>
      <c r="L948" s="103" t="e">
        <f t="shared" ca="1" si="192"/>
        <v>#REF!</v>
      </c>
      <c r="M948" s="103" t="e">
        <f t="shared" ca="1" si="193"/>
        <v>#REF!</v>
      </c>
      <c r="N948" s="104" t="e">
        <f t="shared" ca="1" si="194"/>
        <v>#REF!</v>
      </c>
    </row>
    <row r="949" spans="1:14">
      <c r="A949" s="95">
        <v>911</v>
      </c>
      <c r="B949" s="102" t="e">
        <f t="shared" ca="1" si="182"/>
        <v>#REF!</v>
      </c>
      <c r="C949" s="102" t="e">
        <f t="shared" ca="1" si="183"/>
        <v>#REF!</v>
      </c>
      <c r="D949" s="102" t="e">
        <f t="shared" ca="1" si="184"/>
        <v>#REF!</v>
      </c>
      <c r="E949" s="102" t="e">
        <f t="shared" ca="1" si="185"/>
        <v>#REF!</v>
      </c>
      <c r="F949" s="102" t="e">
        <f t="shared" ca="1" si="186"/>
        <v>#REF!</v>
      </c>
      <c r="G949" s="103">
        <f t="shared" ca="1" si="187"/>
        <v>0.41143418578523605</v>
      </c>
      <c r="H949" s="103">
        <f t="shared" ca="1" si="188"/>
        <v>0.21540868882351458</v>
      </c>
      <c r="I949" s="103" t="e">
        <f t="shared" ca="1" si="189"/>
        <v>#REF!</v>
      </c>
      <c r="J949" s="103" t="e">
        <f t="shared" ca="1" si="190"/>
        <v>#REF!</v>
      </c>
      <c r="K949" s="103" t="e">
        <f t="shared" ca="1" si="191"/>
        <v>#REF!</v>
      </c>
      <c r="L949" s="103" t="e">
        <f t="shared" ca="1" si="192"/>
        <v>#REF!</v>
      </c>
      <c r="M949" s="103" t="e">
        <f t="shared" ca="1" si="193"/>
        <v>#REF!</v>
      </c>
      <c r="N949" s="104" t="e">
        <f t="shared" ca="1" si="194"/>
        <v>#REF!</v>
      </c>
    </row>
    <row r="950" spans="1:14">
      <c r="A950" s="96">
        <v>912</v>
      </c>
      <c r="B950" s="102" t="e">
        <f t="shared" ca="1" si="182"/>
        <v>#REF!</v>
      </c>
      <c r="C950" s="102" t="e">
        <f t="shared" ca="1" si="183"/>
        <v>#REF!</v>
      </c>
      <c r="D950" s="102" t="e">
        <f t="shared" ca="1" si="184"/>
        <v>#REF!</v>
      </c>
      <c r="E950" s="102" t="e">
        <f t="shared" ca="1" si="185"/>
        <v>#REF!</v>
      </c>
      <c r="F950" s="102" t="e">
        <f t="shared" ca="1" si="186"/>
        <v>#REF!</v>
      </c>
      <c r="G950" s="103">
        <f t="shared" ca="1" si="187"/>
        <v>0.45273355291222828</v>
      </c>
      <c r="H950" s="103">
        <f t="shared" ca="1" si="188"/>
        <v>0.19073933347671568</v>
      </c>
      <c r="I950" s="103" t="e">
        <f t="shared" ca="1" si="189"/>
        <v>#REF!</v>
      </c>
      <c r="J950" s="103" t="e">
        <f t="shared" ca="1" si="190"/>
        <v>#REF!</v>
      </c>
      <c r="K950" s="103" t="e">
        <f t="shared" ca="1" si="191"/>
        <v>#REF!</v>
      </c>
      <c r="L950" s="103" t="e">
        <f t="shared" ca="1" si="192"/>
        <v>#REF!</v>
      </c>
      <c r="M950" s="103" t="e">
        <f t="shared" ca="1" si="193"/>
        <v>#REF!</v>
      </c>
      <c r="N950" s="104" t="e">
        <f t="shared" ca="1" si="194"/>
        <v>#REF!</v>
      </c>
    </row>
    <row r="951" spans="1:14">
      <c r="A951" s="95">
        <v>913</v>
      </c>
      <c r="B951" s="102" t="e">
        <f t="shared" ca="1" si="182"/>
        <v>#REF!</v>
      </c>
      <c r="C951" s="102" t="e">
        <f t="shared" ca="1" si="183"/>
        <v>#REF!</v>
      </c>
      <c r="D951" s="102" t="e">
        <f t="shared" ca="1" si="184"/>
        <v>#REF!</v>
      </c>
      <c r="E951" s="102" t="e">
        <f t="shared" ca="1" si="185"/>
        <v>#REF!</v>
      </c>
      <c r="F951" s="102" t="e">
        <f t="shared" ca="1" si="186"/>
        <v>#REF!</v>
      </c>
      <c r="G951" s="103">
        <f t="shared" ca="1" si="187"/>
        <v>0.37155835906980667</v>
      </c>
      <c r="H951" s="103">
        <f t="shared" ca="1" si="188"/>
        <v>0.21206193612123014</v>
      </c>
      <c r="I951" s="103" t="e">
        <f t="shared" ca="1" si="189"/>
        <v>#REF!</v>
      </c>
      <c r="J951" s="103" t="e">
        <f t="shared" ca="1" si="190"/>
        <v>#REF!</v>
      </c>
      <c r="K951" s="103" t="e">
        <f t="shared" ca="1" si="191"/>
        <v>#REF!</v>
      </c>
      <c r="L951" s="103" t="e">
        <f t="shared" ca="1" si="192"/>
        <v>#REF!</v>
      </c>
      <c r="M951" s="103" t="e">
        <f t="shared" ca="1" si="193"/>
        <v>#REF!</v>
      </c>
      <c r="N951" s="104" t="e">
        <f t="shared" ca="1" si="194"/>
        <v>#REF!</v>
      </c>
    </row>
    <row r="952" spans="1:14">
      <c r="A952" s="96">
        <v>914</v>
      </c>
      <c r="B952" s="102" t="e">
        <f t="shared" ca="1" si="182"/>
        <v>#REF!</v>
      </c>
      <c r="C952" s="102" t="e">
        <f t="shared" ca="1" si="183"/>
        <v>#REF!</v>
      </c>
      <c r="D952" s="102" t="e">
        <f t="shared" ca="1" si="184"/>
        <v>#REF!</v>
      </c>
      <c r="E952" s="102" t="e">
        <f t="shared" ca="1" si="185"/>
        <v>#REF!</v>
      </c>
      <c r="F952" s="102" t="e">
        <f t="shared" ca="1" si="186"/>
        <v>#REF!</v>
      </c>
      <c r="G952" s="103">
        <f t="shared" ca="1" si="187"/>
        <v>0.41019569611458995</v>
      </c>
      <c r="H952" s="103">
        <f t="shared" ca="1" si="188"/>
        <v>0.18353366973839161</v>
      </c>
      <c r="I952" s="103" t="e">
        <f t="shared" ca="1" si="189"/>
        <v>#REF!</v>
      </c>
      <c r="J952" s="103" t="e">
        <f t="shared" ca="1" si="190"/>
        <v>#REF!</v>
      </c>
      <c r="K952" s="103" t="e">
        <f t="shared" ca="1" si="191"/>
        <v>#REF!</v>
      </c>
      <c r="L952" s="103" t="e">
        <f t="shared" ca="1" si="192"/>
        <v>#REF!</v>
      </c>
      <c r="M952" s="103" t="e">
        <f t="shared" ca="1" si="193"/>
        <v>#REF!</v>
      </c>
      <c r="N952" s="104" t="e">
        <f t="shared" ca="1" si="194"/>
        <v>#REF!</v>
      </c>
    </row>
    <row r="953" spans="1:14">
      <c r="A953" s="95">
        <v>915</v>
      </c>
      <c r="B953" s="102" t="e">
        <f t="shared" ca="1" si="182"/>
        <v>#REF!</v>
      </c>
      <c r="C953" s="102" t="e">
        <f t="shared" ca="1" si="183"/>
        <v>#REF!</v>
      </c>
      <c r="D953" s="102" t="e">
        <f t="shared" ca="1" si="184"/>
        <v>#REF!</v>
      </c>
      <c r="E953" s="102" t="e">
        <f t="shared" ca="1" si="185"/>
        <v>#REF!</v>
      </c>
      <c r="F953" s="102" t="e">
        <f t="shared" ca="1" si="186"/>
        <v>#REF!</v>
      </c>
      <c r="G953" s="103">
        <f t="shared" ca="1" si="187"/>
        <v>0.42024765709483658</v>
      </c>
      <c r="H953" s="103">
        <f t="shared" ca="1" si="188"/>
        <v>0.19163088421621161</v>
      </c>
      <c r="I953" s="103" t="e">
        <f t="shared" ca="1" si="189"/>
        <v>#REF!</v>
      </c>
      <c r="J953" s="103" t="e">
        <f t="shared" ca="1" si="190"/>
        <v>#REF!</v>
      </c>
      <c r="K953" s="103" t="e">
        <f t="shared" ca="1" si="191"/>
        <v>#REF!</v>
      </c>
      <c r="L953" s="103" t="e">
        <f t="shared" ca="1" si="192"/>
        <v>#REF!</v>
      </c>
      <c r="M953" s="103" t="e">
        <f t="shared" ca="1" si="193"/>
        <v>#REF!</v>
      </c>
      <c r="N953" s="104" t="e">
        <f t="shared" ca="1" si="194"/>
        <v>#REF!</v>
      </c>
    </row>
    <row r="954" spans="1:14">
      <c r="A954" s="96">
        <v>916</v>
      </c>
      <c r="B954" s="102" t="e">
        <f t="shared" ca="1" si="182"/>
        <v>#REF!</v>
      </c>
      <c r="C954" s="102" t="e">
        <f t="shared" ca="1" si="183"/>
        <v>#REF!</v>
      </c>
      <c r="D954" s="102" t="e">
        <f t="shared" ca="1" si="184"/>
        <v>#REF!</v>
      </c>
      <c r="E954" s="102" t="e">
        <f t="shared" ca="1" si="185"/>
        <v>#REF!</v>
      </c>
      <c r="F954" s="102" t="e">
        <f t="shared" ca="1" si="186"/>
        <v>#REF!</v>
      </c>
      <c r="G954" s="103">
        <f t="shared" ca="1" si="187"/>
        <v>0.40828319360375892</v>
      </c>
      <c r="H954" s="103">
        <f t="shared" ca="1" si="188"/>
        <v>0.20313744544445886</v>
      </c>
      <c r="I954" s="103" t="e">
        <f t="shared" ca="1" si="189"/>
        <v>#REF!</v>
      </c>
      <c r="J954" s="103" t="e">
        <f t="shared" ca="1" si="190"/>
        <v>#REF!</v>
      </c>
      <c r="K954" s="103" t="e">
        <f t="shared" ca="1" si="191"/>
        <v>#REF!</v>
      </c>
      <c r="L954" s="103" t="e">
        <f t="shared" ca="1" si="192"/>
        <v>#REF!</v>
      </c>
      <c r="M954" s="103" t="e">
        <f t="shared" ca="1" si="193"/>
        <v>#REF!</v>
      </c>
      <c r="N954" s="104" t="e">
        <f t="shared" ca="1" si="194"/>
        <v>#REF!</v>
      </c>
    </row>
    <row r="955" spans="1:14">
      <c r="A955" s="95">
        <v>917</v>
      </c>
      <c r="B955" s="102" t="e">
        <f t="shared" ca="1" si="182"/>
        <v>#REF!</v>
      </c>
      <c r="C955" s="102" t="e">
        <f t="shared" ca="1" si="183"/>
        <v>#REF!</v>
      </c>
      <c r="D955" s="102" t="e">
        <f t="shared" ca="1" si="184"/>
        <v>#REF!</v>
      </c>
      <c r="E955" s="102" t="e">
        <f t="shared" ca="1" si="185"/>
        <v>#REF!</v>
      </c>
      <c r="F955" s="102" t="e">
        <f t="shared" ca="1" si="186"/>
        <v>#REF!</v>
      </c>
      <c r="G955" s="103">
        <f t="shared" ca="1" si="187"/>
        <v>0.37656841895409815</v>
      </c>
      <c r="H955" s="103">
        <f t="shared" ca="1" si="188"/>
        <v>0.20331214705004511</v>
      </c>
      <c r="I955" s="103" t="e">
        <f t="shared" ca="1" si="189"/>
        <v>#REF!</v>
      </c>
      <c r="J955" s="103" t="e">
        <f t="shared" ca="1" si="190"/>
        <v>#REF!</v>
      </c>
      <c r="K955" s="103" t="e">
        <f t="shared" ca="1" si="191"/>
        <v>#REF!</v>
      </c>
      <c r="L955" s="103" t="e">
        <f t="shared" ca="1" si="192"/>
        <v>#REF!</v>
      </c>
      <c r="M955" s="103" t="e">
        <f t="shared" ca="1" si="193"/>
        <v>#REF!</v>
      </c>
      <c r="N955" s="104" t="e">
        <f t="shared" ca="1" si="194"/>
        <v>#REF!</v>
      </c>
    </row>
    <row r="956" spans="1:14">
      <c r="A956" s="96">
        <v>918</v>
      </c>
      <c r="B956" s="102" t="e">
        <f t="shared" ca="1" si="182"/>
        <v>#REF!</v>
      </c>
      <c r="C956" s="102" t="e">
        <f t="shared" ca="1" si="183"/>
        <v>#REF!</v>
      </c>
      <c r="D956" s="102" t="e">
        <f t="shared" ca="1" si="184"/>
        <v>#REF!</v>
      </c>
      <c r="E956" s="102" t="e">
        <f t="shared" ca="1" si="185"/>
        <v>#REF!</v>
      </c>
      <c r="F956" s="102" t="e">
        <f t="shared" ca="1" si="186"/>
        <v>#REF!</v>
      </c>
      <c r="G956" s="103">
        <f t="shared" ca="1" si="187"/>
        <v>0.44948450333603523</v>
      </c>
      <c r="H956" s="103">
        <f t="shared" ca="1" si="188"/>
        <v>0.20579004442479634</v>
      </c>
      <c r="I956" s="103" t="e">
        <f t="shared" ca="1" si="189"/>
        <v>#REF!</v>
      </c>
      <c r="J956" s="103" t="e">
        <f t="shared" ca="1" si="190"/>
        <v>#REF!</v>
      </c>
      <c r="K956" s="103" t="e">
        <f t="shared" ca="1" si="191"/>
        <v>#REF!</v>
      </c>
      <c r="L956" s="103" t="e">
        <f t="shared" ca="1" si="192"/>
        <v>#REF!</v>
      </c>
      <c r="M956" s="103" t="e">
        <f t="shared" ca="1" si="193"/>
        <v>#REF!</v>
      </c>
      <c r="N956" s="104" t="e">
        <f t="shared" ca="1" si="194"/>
        <v>#REF!</v>
      </c>
    </row>
    <row r="957" spans="1:14">
      <c r="A957" s="95">
        <v>919</v>
      </c>
      <c r="B957" s="102" t="e">
        <f t="shared" ca="1" si="182"/>
        <v>#REF!</v>
      </c>
      <c r="C957" s="102" t="e">
        <f t="shared" ca="1" si="183"/>
        <v>#REF!</v>
      </c>
      <c r="D957" s="102" t="e">
        <f t="shared" ca="1" si="184"/>
        <v>#REF!</v>
      </c>
      <c r="E957" s="102" t="e">
        <f t="shared" ca="1" si="185"/>
        <v>#REF!</v>
      </c>
      <c r="F957" s="102" t="e">
        <f t="shared" ca="1" si="186"/>
        <v>#REF!</v>
      </c>
      <c r="G957" s="103">
        <f t="shared" ca="1" si="187"/>
        <v>0.4242499754092619</v>
      </c>
      <c r="H957" s="103">
        <f t="shared" ca="1" si="188"/>
        <v>0.18500067420372085</v>
      </c>
      <c r="I957" s="103" t="e">
        <f t="shared" ca="1" si="189"/>
        <v>#REF!</v>
      </c>
      <c r="J957" s="103" t="e">
        <f t="shared" ca="1" si="190"/>
        <v>#REF!</v>
      </c>
      <c r="K957" s="103" t="e">
        <f t="shared" ca="1" si="191"/>
        <v>#REF!</v>
      </c>
      <c r="L957" s="103" t="e">
        <f t="shared" ca="1" si="192"/>
        <v>#REF!</v>
      </c>
      <c r="M957" s="103" t="e">
        <f t="shared" ca="1" si="193"/>
        <v>#REF!</v>
      </c>
      <c r="N957" s="104" t="e">
        <f t="shared" ca="1" si="194"/>
        <v>#REF!</v>
      </c>
    </row>
    <row r="958" spans="1:14">
      <c r="A958" s="96">
        <v>920</v>
      </c>
      <c r="B958" s="102" t="e">
        <f t="shared" ca="1" si="182"/>
        <v>#REF!</v>
      </c>
      <c r="C958" s="102" t="e">
        <f t="shared" ca="1" si="183"/>
        <v>#REF!</v>
      </c>
      <c r="D958" s="102" t="e">
        <f t="shared" ca="1" si="184"/>
        <v>#REF!</v>
      </c>
      <c r="E958" s="102" t="e">
        <f t="shared" ca="1" si="185"/>
        <v>#REF!</v>
      </c>
      <c r="F958" s="102" t="e">
        <f t="shared" ca="1" si="186"/>
        <v>#REF!</v>
      </c>
      <c r="G958" s="103">
        <f t="shared" ca="1" si="187"/>
        <v>0.45309120022048466</v>
      </c>
      <c r="H958" s="103">
        <f t="shared" ca="1" si="188"/>
        <v>0.19485748567752428</v>
      </c>
      <c r="I958" s="103" t="e">
        <f t="shared" ca="1" si="189"/>
        <v>#REF!</v>
      </c>
      <c r="J958" s="103" t="e">
        <f t="shared" ca="1" si="190"/>
        <v>#REF!</v>
      </c>
      <c r="K958" s="103" t="e">
        <f t="shared" ca="1" si="191"/>
        <v>#REF!</v>
      </c>
      <c r="L958" s="103" t="e">
        <f t="shared" ca="1" si="192"/>
        <v>#REF!</v>
      </c>
      <c r="M958" s="103" t="e">
        <f t="shared" ca="1" si="193"/>
        <v>#REF!</v>
      </c>
      <c r="N958" s="104" t="e">
        <f t="shared" ca="1" si="194"/>
        <v>#REF!</v>
      </c>
    </row>
    <row r="959" spans="1:14">
      <c r="A959" s="95">
        <v>921</v>
      </c>
      <c r="B959" s="102" t="e">
        <f t="shared" ca="1" si="182"/>
        <v>#REF!</v>
      </c>
      <c r="C959" s="102" t="e">
        <f t="shared" ca="1" si="183"/>
        <v>#REF!</v>
      </c>
      <c r="D959" s="102" t="e">
        <f t="shared" ca="1" si="184"/>
        <v>#REF!</v>
      </c>
      <c r="E959" s="102" t="e">
        <f t="shared" ca="1" si="185"/>
        <v>#REF!</v>
      </c>
      <c r="F959" s="102" t="e">
        <f t="shared" ca="1" si="186"/>
        <v>#REF!</v>
      </c>
      <c r="G959" s="103">
        <f t="shared" ca="1" si="187"/>
        <v>0.38274427257759991</v>
      </c>
      <c r="H959" s="103">
        <f t="shared" ca="1" si="188"/>
        <v>0.20471285704672157</v>
      </c>
      <c r="I959" s="103" t="e">
        <f t="shared" ca="1" si="189"/>
        <v>#REF!</v>
      </c>
      <c r="J959" s="103" t="e">
        <f t="shared" ca="1" si="190"/>
        <v>#REF!</v>
      </c>
      <c r="K959" s="103" t="e">
        <f t="shared" ca="1" si="191"/>
        <v>#REF!</v>
      </c>
      <c r="L959" s="103" t="e">
        <f t="shared" ca="1" si="192"/>
        <v>#REF!</v>
      </c>
      <c r="M959" s="103" t="e">
        <f t="shared" ca="1" si="193"/>
        <v>#REF!</v>
      </c>
      <c r="N959" s="104" t="e">
        <f t="shared" ca="1" si="194"/>
        <v>#REF!</v>
      </c>
    </row>
    <row r="960" spans="1:14">
      <c r="A960" s="96">
        <v>922</v>
      </c>
      <c r="B960" s="102" t="e">
        <f t="shared" ca="1" si="182"/>
        <v>#REF!</v>
      </c>
      <c r="C960" s="102" t="e">
        <f t="shared" ca="1" si="183"/>
        <v>#REF!</v>
      </c>
      <c r="D960" s="102" t="e">
        <f t="shared" ca="1" si="184"/>
        <v>#REF!</v>
      </c>
      <c r="E960" s="102" t="e">
        <f t="shared" ca="1" si="185"/>
        <v>#REF!</v>
      </c>
      <c r="F960" s="102" t="e">
        <f t="shared" ca="1" si="186"/>
        <v>#REF!</v>
      </c>
      <c r="G960" s="103">
        <f t="shared" ca="1" si="187"/>
        <v>0.43587678133375102</v>
      </c>
      <c r="H960" s="103">
        <f t="shared" ca="1" si="188"/>
        <v>0.19912016359172907</v>
      </c>
      <c r="I960" s="103" t="e">
        <f t="shared" ca="1" si="189"/>
        <v>#REF!</v>
      </c>
      <c r="J960" s="103" t="e">
        <f t="shared" ca="1" si="190"/>
        <v>#REF!</v>
      </c>
      <c r="K960" s="103" t="e">
        <f t="shared" ca="1" si="191"/>
        <v>#REF!</v>
      </c>
      <c r="L960" s="103" t="e">
        <f t="shared" ca="1" si="192"/>
        <v>#REF!</v>
      </c>
      <c r="M960" s="103" t="e">
        <f t="shared" ca="1" si="193"/>
        <v>#REF!</v>
      </c>
      <c r="N960" s="104" t="e">
        <f t="shared" ca="1" si="194"/>
        <v>#REF!</v>
      </c>
    </row>
    <row r="961" spans="1:14">
      <c r="A961" s="95">
        <v>923</v>
      </c>
      <c r="B961" s="102" t="e">
        <f t="shared" ca="1" si="182"/>
        <v>#REF!</v>
      </c>
      <c r="C961" s="102" t="e">
        <f t="shared" ca="1" si="183"/>
        <v>#REF!</v>
      </c>
      <c r="D961" s="102" t="e">
        <f t="shared" ca="1" si="184"/>
        <v>#REF!</v>
      </c>
      <c r="E961" s="102" t="e">
        <f t="shared" ca="1" si="185"/>
        <v>#REF!</v>
      </c>
      <c r="F961" s="102" t="e">
        <f t="shared" ca="1" si="186"/>
        <v>#REF!</v>
      </c>
      <c r="G961" s="103">
        <f t="shared" ca="1" si="187"/>
        <v>0.46231724753433323</v>
      </c>
      <c r="H961" s="103">
        <f t="shared" ca="1" si="188"/>
        <v>0.20567164240295288</v>
      </c>
      <c r="I961" s="103" t="e">
        <f t="shared" ca="1" si="189"/>
        <v>#REF!</v>
      </c>
      <c r="J961" s="103" t="e">
        <f t="shared" ca="1" si="190"/>
        <v>#REF!</v>
      </c>
      <c r="K961" s="103" t="e">
        <f t="shared" ca="1" si="191"/>
        <v>#REF!</v>
      </c>
      <c r="L961" s="103" t="e">
        <f t="shared" ca="1" si="192"/>
        <v>#REF!</v>
      </c>
      <c r="M961" s="103" t="e">
        <f t="shared" ca="1" si="193"/>
        <v>#REF!</v>
      </c>
      <c r="N961" s="104" t="e">
        <f t="shared" ca="1" si="194"/>
        <v>#REF!</v>
      </c>
    </row>
    <row r="962" spans="1:14">
      <c r="A962" s="96">
        <v>924</v>
      </c>
      <c r="B962" s="102" t="e">
        <f t="shared" ca="1" si="182"/>
        <v>#REF!</v>
      </c>
      <c r="C962" s="102" t="e">
        <f t="shared" ca="1" si="183"/>
        <v>#REF!</v>
      </c>
      <c r="D962" s="102" t="e">
        <f t="shared" ca="1" si="184"/>
        <v>#REF!</v>
      </c>
      <c r="E962" s="102" t="e">
        <f t="shared" ca="1" si="185"/>
        <v>#REF!</v>
      </c>
      <c r="F962" s="102" t="e">
        <f t="shared" ca="1" si="186"/>
        <v>#REF!</v>
      </c>
      <c r="G962" s="103">
        <f t="shared" ca="1" si="187"/>
        <v>0.41360385938555433</v>
      </c>
      <c r="H962" s="103">
        <f t="shared" ca="1" si="188"/>
        <v>0.2129800566925652</v>
      </c>
      <c r="I962" s="103" t="e">
        <f t="shared" ca="1" si="189"/>
        <v>#REF!</v>
      </c>
      <c r="J962" s="103" t="e">
        <f t="shared" ca="1" si="190"/>
        <v>#REF!</v>
      </c>
      <c r="K962" s="103" t="e">
        <f t="shared" ca="1" si="191"/>
        <v>#REF!</v>
      </c>
      <c r="L962" s="103" t="e">
        <f t="shared" ca="1" si="192"/>
        <v>#REF!</v>
      </c>
      <c r="M962" s="103" t="e">
        <f t="shared" ca="1" si="193"/>
        <v>#REF!</v>
      </c>
      <c r="N962" s="104" t="e">
        <f t="shared" ca="1" si="194"/>
        <v>#REF!</v>
      </c>
    </row>
    <row r="963" spans="1:14">
      <c r="A963" s="95">
        <v>925</v>
      </c>
      <c r="B963" s="102" t="e">
        <f t="shared" ca="1" si="182"/>
        <v>#REF!</v>
      </c>
      <c r="C963" s="102" t="e">
        <f t="shared" ca="1" si="183"/>
        <v>#REF!</v>
      </c>
      <c r="D963" s="102" t="e">
        <f t="shared" ca="1" si="184"/>
        <v>#REF!</v>
      </c>
      <c r="E963" s="102" t="e">
        <f t="shared" ca="1" si="185"/>
        <v>#REF!</v>
      </c>
      <c r="F963" s="102" t="e">
        <f t="shared" ca="1" si="186"/>
        <v>#REF!</v>
      </c>
      <c r="G963" s="103">
        <f t="shared" ca="1" si="187"/>
        <v>0.42192657234339492</v>
      </c>
      <c r="H963" s="103">
        <f t="shared" ca="1" si="188"/>
        <v>0.23120035427011704</v>
      </c>
      <c r="I963" s="103" t="e">
        <f t="shared" ca="1" si="189"/>
        <v>#REF!</v>
      </c>
      <c r="J963" s="103" t="e">
        <f t="shared" ca="1" si="190"/>
        <v>#REF!</v>
      </c>
      <c r="K963" s="103" t="e">
        <f t="shared" ca="1" si="191"/>
        <v>#REF!</v>
      </c>
      <c r="L963" s="103" t="e">
        <f t="shared" ca="1" si="192"/>
        <v>#REF!</v>
      </c>
      <c r="M963" s="103" t="e">
        <f t="shared" ca="1" si="193"/>
        <v>#REF!</v>
      </c>
      <c r="N963" s="104" t="e">
        <f t="shared" ca="1" si="194"/>
        <v>#REF!</v>
      </c>
    </row>
    <row r="964" spans="1:14">
      <c r="A964" s="96">
        <v>926</v>
      </c>
      <c r="B964" s="102" t="e">
        <f t="shared" ca="1" si="182"/>
        <v>#REF!</v>
      </c>
      <c r="C964" s="102" t="e">
        <f t="shared" ca="1" si="183"/>
        <v>#REF!</v>
      </c>
      <c r="D964" s="102" t="e">
        <f t="shared" ca="1" si="184"/>
        <v>#REF!</v>
      </c>
      <c r="E964" s="102" t="e">
        <f t="shared" ca="1" si="185"/>
        <v>#REF!</v>
      </c>
      <c r="F964" s="102" t="e">
        <f t="shared" ca="1" si="186"/>
        <v>#REF!</v>
      </c>
      <c r="G964" s="103">
        <f t="shared" ca="1" si="187"/>
        <v>0.40173399987603747</v>
      </c>
      <c r="H964" s="103">
        <f t="shared" ca="1" si="188"/>
        <v>0.22759753255580675</v>
      </c>
      <c r="I964" s="103" t="e">
        <f t="shared" ca="1" si="189"/>
        <v>#REF!</v>
      </c>
      <c r="J964" s="103" t="e">
        <f t="shared" ca="1" si="190"/>
        <v>#REF!</v>
      </c>
      <c r="K964" s="103" t="e">
        <f t="shared" ca="1" si="191"/>
        <v>#REF!</v>
      </c>
      <c r="L964" s="103" t="e">
        <f t="shared" ca="1" si="192"/>
        <v>#REF!</v>
      </c>
      <c r="M964" s="103" t="e">
        <f t="shared" ca="1" si="193"/>
        <v>#REF!</v>
      </c>
      <c r="N964" s="104" t="e">
        <f t="shared" ca="1" si="194"/>
        <v>#REF!</v>
      </c>
    </row>
    <row r="965" spans="1:14">
      <c r="A965" s="95">
        <v>927</v>
      </c>
      <c r="B965" s="102" t="e">
        <f t="shared" ca="1" si="182"/>
        <v>#REF!</v>
      </c>
      <c r="C965" s="102" t="e">
        <f t="shared" ca="1" si="183"/>
        <v>#REF!</v>
      </c>
      <c r="D965" s="102" t="e">
        <f t="shared" ca="1" si="184"/>
        <v>#REF!</v>
      </c>
      <c r="E965" s="102" t="e">
        <f t="shared" ca="1" si="185"/>
        <v>#REF!</v>
      </c>
      <c r="F965" s="102" t="e">
        <f t="shared" ca="1" si="186"/>
        <v>#REF!</v>
      </c>
      <c r="G965" s="103">
        <f t="shared" ca="1" si="187"/>
        <v>0.4306845173518547</v>
      </c>
      <c r="H965" s="103">
        <f t="shared" ca="1" si="188"/>
        <v>0.19388060876145827</v>
      </c>
      <c r="I965" s="103" t="e">
        <f t="shared" ca="1" si="189"/>
        <v>#REF!</v>
      </c>
      <c r="J965" s="103" t="e">
        <f t="shared" ca="1" si="190"/>
        <v>#REF!</v>
      </c>
      <c r="K965" s="103" t="e">
        <f t="shared" ca="1" si="191"/>
        <v>#REF!</v>
      </c>
      <c r="L965" s="103" t="e">
        <f t="shared" ca="1" si="192"/>
        <v>#REF!</v>
      </c>
      <c r="M965" s="103" t="e">
        <f t="shared" ca="1" si="193"/>
        <v>#REF!</v>
      </c>
      <c r="N965" s="104" t="e">
        <f t="shared" ca="1" si="194"/>
        <v>#REF!</v>
      </c>
    </row>
    <row r="966" spans="1:14">
      <c r="A966" s="96">
        <v>928</v>
      </c>
      <c r="B966" s="102" t="e">
        <f t="shared" ca="1" si="182"/>
        <v>#REF!</v>
      </c>
      <c r="C966" s="102" t="e">
        <f t="shared" ca="1" si="183"/>
        <v>#REF!</v>
      </c>
      <c r="D966" s="102" t="e">
        <f t="shared" ca="1" si="184"/>
        <v>#REF!</v>
      </c>
      <c r="E966" s="102" t="e">
        <f t="shared" ca="1" si="185"/>
        <v>#REF!</v>
      </c>
      <c r="F966" s="102" t="e">
        <f t="shared" ca="1" si="186"/>
        <v>#REF!</v>
      </c>
      <c r="G966" s="103">
        <f t="shared" ca="1" si="187"/>
        <v>0.46840605828913867</v>
      </c>
      <c r="H966" s="103">
        <f t="shared" ca="1" si="188"/>
        <v>0.18281705038667539</v>
      </c>
      <c r="I966" s="103" t="e">
        <f t="shared" ca="1" si="189"/>
        <v>#REF!</v>
      </c>
      <c r="J966" s="103" t="e">
        <f t="shared" ca="1" si="190"/>
        <v>#REF!</v>
      </c>
      <c r="K966" s="103" t="e">
        <f t="shared" ca="1" si="191"/>
        <v>#REF!</v>
      </c>
      <c r="L966" s="103" t="e">
        <f t="shared" ca="1" si="192"/>
        <v>#REF!</v>
      </c>
      <c r="M966" s="103" t="e">
        <f t="shared" ca="1" si="193"/>
        <v>#REF!</v>
      </c>
      <c r="N966" s="104" t="e">
        <f t="shared" ca="1" si="194"/>
        <v>#REF!</v>
      </c>
    </row>
    <row r="967" spans="1:14">
      <c r="A967" s="95">
        <v>929</v>
      </c>
      <c r="B967" s="102" t="e">
        <f t="shared" ca="1" si="182"/>
        <v>#REF!</v>
      </c>
      <c r="C967" s="102" t="e">
        <f t="shared" ca="1" si="183"/>
        <v>#REF!</v>
      </c>
      <c r="D967" s="102" t="e">
        <f t="shared" ca="1" si="184"/>
        <v>#REF!</v>
      </c>
      <c r="E967" s="102" t="e">
        <f t="shared" ca="1" si="185"/>
        <v>#REF!</v>
      </c>
      <c r="F967" s="102" t="e">
        <f t="shared" ca="1" si="186"/>
        <v>#REF!</v>
      </c>
      <c r="G967" s="103">
        <f t="shared" ca="1" si="187"/>
        <v>0.4058883179250094</v>
      </c>
      <c r="H967" s="103">
        <f t="shared" ca="1" si="188"/>
        <v>0.21445580636286521</v>
      </c>
      <c r="I967" s="103" t="e">
        <f t="shared" ca="1" si="189"/>
        <v>#REF!</v>
      </c>
      <c r="J967" s="103" t="e">
        <f t="shared" ca="1" si="190"/>
        <v>#REF!</v>
      </c>
      <c r="K967" s="103" t="e">
        <f t="shared" ca="1" si="191"/>
        <v>#REF!</v>
      </c>
      <c r="L967" s="103" t="e">
        <f t="shared" ca="1" si="192"/>
        <v>#REF!</v>
      </c>
      <c r="M967" s="103" t="e">
        <f t="shared" ca="1" si="193"/>
        <v>#REF!</v>
      </c>
      <c r="N967" s="104" t="e">
        <f t="shared" ca="1" si="194"/>
        <v>#REF!</v>
      </c>
    </row>
    <row r="968" spans="1:14">
      <c r="A968" s="96">
        <v>930</v>
      </c>
      <c r="B968" s="102" t="e">
        <f t="shared" ca="1" si="182"/>
        <v>#REF!</v>
      </c>
      <c r="C968" s="102" t="e">
        <f t="shared" ca="1" si="183"/>
        <v>#REF!</v>
      </c>
      <c r="D968" s="102" t="e">
        <f t="shared" ca="1" si="184"/>
        <v>#REF!</v>
      </c>
      <c r="E968" s="102" t="e">
        <f t="shared" ca="1" si="185"/>
        <v>#REF!</v>
      </c>
      <c r="F968" s="102" t="e">
        <f t="shared" ca="1" si="186"/>
        <v>#REF!</v>
      </c>
      <c r="G968" s="103">
        <f t="shared" ca="1" si="187"/>
        <v>0.43565659278280638</v>
      </c>
      <c r="H968" s="103">
        <f t="shared" ca="1" si="188"/>
        <v>0.19590626001999342</v>
      </c>
      <c r="I968" s="103" t="e">
        <f t="shared" ca="1" si="189"/>
        <v>#REF!</v>
      </c>
      <c r="J968" s="103" t="e">
        <f t="shared" ca="1" si="190"/>
        <v>#REF!</v>
      </c>
      <c r="K968" s="103" t="e">
        <f t="shared" ca="1" si="191"/>
        <v>#REF!</v>
      </c>
      <c r="L968" s="103" t="e">
        <f t="shared" ca="1" si="192"/>
        <v>#REF!</v>
      </c>
      <c r="M968" s="103" t="e">
        <f t="shared" ca="1" si="193"/>
        <v>#REF!</v>
      </c>
      <c r="N968" s="104" t="e">
        <f t="shared" ca="1" si="194"/>
        <v>#REF!</v>
      </c>
    </row>
    <row r="969" spans="1:14">
      <c r="A969" s="95">
        <v>931</v>
      </c>
      <c r="B969" s="102" t="e">
        <f t="shared" ca="1" si="182"/>
        <v>#REF!</v>
      </c>
      <c r="C969" s="102" t="e">
        <f t="shared" ca="1" si="183"/>
        <v>#REF!</v>
      </c>
      <c r="D969" s="102" t="e">
        <f t="shared" ca="1" si="184"/>
        <v>#REF!</v>
      </c>
      <c r="E969" s="102" t="e">
        <f t="shared" ca="1" si="185"/>
        <v>#REF!</v>
      </c>
      <c r="F969" s="102" t="e">
        <f t="shared" ca="1" si="186"/>
        <v>#REF!</v>
      </c>
      <c r="G969" s="103">
        <f t="shared" ca="1" si="187"/>
        <v>0.46191352827049453</v>
      </c>
      <c r="H969" s="103">
        <f t="shared" ca="1" si="188"/>
        <v>0.2072395594164993</v>
      </c>
      <c r="I969" s="103" t="e">
        <f t="shared" ca="1" si="189"/>
        <v>#REF!</v>
      </c>
      <c r="J969" s="103" t="e">
        <f t="shared" ca="1" si="190"/>
        <v>#REF!</v>
      </c>
      <c r="K969" s="103" t="e">
        <f t="shared" ca="1" si="191"/>
        <v>#REF!</v>
      </c>
      <c r="L969" s="103" t="e">
        <f t="shared" ca="1" si="192"/>
        <v>#REF!</v>
      </c>
      <c r="M969" s="103" t="e">
        <f t="shared" ca="1" si="193"/>
        <v>#REF!</v>
      </c>
      <c r="N969" s="104" t="e">
        <f t="shared" ca="1" si="194"/>
        <v>#REF!</v>
      </c>
    </row>
    <row r="970" spans="1:14">
      <c r="A970" s="96">
        <v>932</v>
      </c>
      <c r="B970" s="102" t="e">
        <f t="shared" ca="1" si="182"/>
        <v>#REF!</v>
      </c>
      <c r="C970" s="102" t="e">
        <f t="shared" ca="1" si="183"/>
        <v>#REF!</v>
      </c>
      <c r="D970" s="102" t="e">
        <f t="shared" ca="1" si="184"/>
        <v>#REF!</v>
      </c>
      <c r="E970" s="102" t="e">
        <f t="shared" ca="1" si="185"/>
        <v>#REF!</v>
      </c>
      <c r="F970" s="102" t="e">
        <f t="shared" ca="1" si="186"/>
        <v>#REF!</v>
      </c>
      <c r="G970" s="103">
        <f t="shared" ca="1" si="187"/>
        <v>0.46474548204675614</v>
      </c>
      <c r="H970" s="103">
        <f t="shared" ca="1" si="188"/>
        <v>0.18253886603610375</v>
      </c>
      <c r="I970" s="103" t="e">
        <f t="shared" ca="1" si="189"/>
        <v>#REF!</v>
      </c>
      <c r="J970" s="103" t="e">
        <f t="shared" ca="1" si="190"/>
        <v>#REF!</v>
      </c>
      <c r="K970" s="103" t="e">
        <f t="shared" ca="1" si="191"/>
        <v>#REF!</v>
      </c>
      <c r="L970" s="103" t="e">
        <f t="shared" ca="1" si="192"/>
        <v>#REF!</v>
      </c>
      <c r="M970" s="103" t="e">
        <f t="shared" ca="1" si="193"/>
        <v>#REF!</v>
      </c>
      <c r="N970" s="104" t="e">
        <f t="shared" ca="1" si="194"/>
        <v>#REF!</v>
      </c>
    </row>
    <row r="971" spans="1:14">
      <c r="A971" s="95">
        <v>933</v>
      </c>
      <c r="B971" s="102" t="e">
        <f t="shared" ca="1" si="182"/>
        <v>#REF!</v>
      </c>
      <c r="C971" s="102" t="e">
        <f t="shared" ca="1" si="183"/>
        <v>#REF!</v>
      </c>
      <c r="D971" s="102" t="e">
        <f t="shared" ca="1" si="184"/>
        <v>#REF!</v>
      </c>
      <c r="E971" s="102" t="e">
        <f t="shared" ca="1" si="185"/>
        <v>#REF!</v>
      </c>
      <c r="F971" s="102" t="e">
        <f t="shared" ca="1" si="186"/>
        <v>#REF!</v>
      </c>
      <c r="G971" s="103">
        <f t="shared" ca="1" si="187"/>
        <v>0.42533209237364067</v>
      </c>
      <c r="H971" s="103">
        <f t="shared" ca="1" si="188"/>
        <v>0.21384035380024857</v>
      </c>
      <c r="I971" s="103" t="e">
        <f t="shared" ca="1" si="189"/>
        <v>#REF!</v>
      </c>
      <c r="J971" s="103" t="e">
        <f t="shared" ca="1" si="190"/>
        <v>#REF!</v>
      </c>
      <c r="K971" s="103" t="e">
        <f t="shared" ca="1" si="191"/>
        <v>#REF!</v>
      </c>
      <c r="L971" s="103" t="e">
        <f t="shared" ca="1" si="192"/>
        <v>#REF!</v>
      </c>
      <c r="M971" s="103" t="e">
        <f t="shared" ca="1" si="193"/>
        <v>#REF!</v>
      </c>
      <c r="N971" s="104" t="e">
        <f t="shared" ca="1" si="194"/>
        <v>#REF!</v>
      </c>
    </row>
    <row r="972" spans="1:14">
      <c r="A972" s="96">
        <v>934</v>
      </c>
      <c r="B972" s="102" t="e">
        <f t="shared" ca="1" si="182"/>
        <v>#REF!</v>
      </c>
      <c r="C972" s="102" t="e">
        <f t="shared" ca="1" si="183"/>
        <v>#REF!</v>
      </c>
      <c r="D972" s="102" t="e">
        <f t="shared" ca="1" si="184"/>
        <v>#REF!</v>
      </c>
      <c r="E972" s="102" t="e">
        <f t="shared" ca="1" si="185"/>
        <v>#REF!</v>
      </c>
      <c r="F972" s="102" t="e">
        <f t="shared" ca="1" si="186"/>
        <v>#REF!</v>
      </c>
      <c r="G972" s="103">
        <f t="shared" ca="1" si="187"/>
        <v>0.44564635845432954</v>
      </c>
      <c r="H972" s="103">
        <f t="shared" ca="1" si="188"/>
        <v>0.19147649178812673</v>
      </c>
      <c r="I972" s="103" t="e">
        <f t="shared" ca="1" si="189"/>
        <v>#REF!</v>
      </c>
      <c r="J972" s="103" t="e">
        <f t="shared" ca="1" si="190"/>
        <v>#REF!</v>
      </c>
      <c r="K972" s="103" t="e">
        <f t="shared" ca="1" si="191"/>
        <v>#REF!</v>
      </c>
      <c r="L972" s="103" t="e">
        <f t="shared" ca="1" si="192"/>
        <v>#REF!</v>
      </c>
      <c r="M972" s="103" t="e">
        <f t="shared" ca="1" si="193"/>
        <v>#REF!</v>
      </c>
      <c r="N972" s="104" t="e">
        <f t="shared" ca="1" si="194"/>
        <v>#REF!</v>
      </c>
    </row>
    <row r="973" spans="1:14">
      <c r="A973" s="95">
        <v>935</v>
      </c>
      <c r="B973" s="102" t="e">
        <f t="shared" ca="1" si="182"/>
        <v>#REF!</v>
      </c>
      <c r="C973" s="102" t="e">
        <f t="shared" ca="1" si="183"/>
        <v>#REF!</v>
      </c>
      <c r="D973" s="102" t="e">
        <f t="shared" ca="1" si="184"/>
        <v>#REF!</v>
      </c>
      <c r="E973" s="102" t="e">
        <f t="shared" ca="1" si="185"/>
        <v>#REF!</v>
      </c>
      <c r="F973" s="102" t="e">
        <f t="shared" ca="1" si="186"/>
        <v>#REF!</v>
      </c>
      <c r="G973" s="103">
        <f t="shared" ca="1" si="187"/>
        <v>0.404076858665539</v>
      </c>
      <c r="H973" s="103">
        <f t="shared" ca="1" si="188"/>
        <v>0.17235525091776691</v>
      </c>
      <c r="I973" s="103" t="e">
        <f t="shared" ca="1" si="189"/>
        <v>#REF!</v>
      </c>
      <c r="J973" s="103" t="e">
        <f t="shared" ca="1" si="190"/>
        <v>#REF!</v>
      </c>
      <c r="K973" s="103" t="e">
        <f t="shared" ca="1" si="191"/>
        <v>#REF!</v>
      </c>
      <c r="L973" s="103" t="e">
        <f t="shared" ca="1" si="192"/>
        <v>#REF!</v>
      </c>
      <c r="M973" s="103" t="e">
        <f t="shared" ca="1" si="193"/>
        <v>#REF!</v>
      </c>
      <c r="N973" s="104" t="e">
        <f t="shared" ca="1" si="194"/>
        <v>#REF!</v>
      </c>
    </row>
    <row r="974" spans="1:14">
      <c r="A974" s="96">
        <v>936</v>
      </c>
      <c r="B974" s="102" t="e">
        <f t="shared" ca="1" si="182"/>
        <v>#REF!</v>
      </c>
      <c r="C974" s="102" t="e">
        <f t="shared" ca="1" si="183"/>
        <v>#REF!</v>
      </c>
      <c r="D974" s="102" t="e">
        <f t="shared" ca="1" si="184"/>
        <v>#REF!</v>
      </c>
      <c r="E974" s="102" t="e">
        <f t="shared" ca="1" si="185"/>
        <v>#REF!</v>
      </c>
      <c r="F974" s="102" t="e">
        <f t="shared" ca="1" si="186"/>
        <v>#REF!</v>
      </c>
      <c r="G974" s="103">
        <f t="shared" ca="1" si="187"/>
        <v>0.42256440373767906</v>
      </c>
      <c r="H974" s="103">
        <f t="shared" ca="1" si="188"/>
        <v>0.22190546371322475</v>
      </c>
      <c r="I974" s="103" t="e">
        <f t="shared" ca="1" si="189"/>
        <v>#REF!</v>
      </c>
      <c r="J974" s="103" t="e">
        <f t="shared" ca="1" si="190"/>
        <v>#REF!</v>
      </c>
      <c r="K974" s="103" t="e">
        <f t="shared" ca="1" si="191"/>
        <v>#REF!</v>
      </c>
      <c r="L974" s="103" t="e">
        <f t="shared" ca="1" si="192"/>
        <v>#REF!</v>
      </c>
      <c r="M974" s="103" t="e">
        <f t="shared" ca="1" si="193"/>
        <v>#REF!</v>
      </c>
      <c r="N974" s="104" t="e">
        <f t="shared" ca="1" si="194"/>
        <v>#REF!</v>
      </c>
    </row>
    <row r="975" spans="1:14">
      <c r="A975" s="95">
        <v>937</v>
      </c>
      <c r="B975" s="102" t="e">
        <f t="shared" ca="1" si="182"/>
        <v>#REF!</v>
      </c>
      <c r="C975" s="102" t="e">
        <f t="shared" ca="1" si="183"/>
        <v>#REF!</v>
      </c>
      <c r="D975" s="102" t="e">
        <f t="shared" ca="1" si="184"/>
        <v>#REF!</v>
      </c>
      <c r="E975" s="102" t="e">
        <f t="shared" ca="1" si="185"/>
        <v>#REF!</v>
      </c>
      <c r="F975" s="102" t="e">
        <f t="shared" ca="1" si="186"/>
        <v>#REF!</v>
      </c>
      <c r="G975" s="103">
        <f t="shared" ca="1" si="187"/>
        <v>0.45413697122410246</v>
      </c>
      <c r="H975" s="103">
        <f t="shared" ca="1" si="188"/>
        <v>0.20239554205648499</v>
      </c>
      <c r="I975" s="103" t="e">
        <f t="shared" ca="1" si="189"/>
        <v>#REF!</v>
      </c>
      <c r="J975" s="103" t="e">
        <f t="shared" ca="1" si="190"/>
        <v>#REF!</v>
      </c>
      <c r="K975" s="103" t="e">
        <f t="shared" ca="1" si="191"/>
        <v>#REF!</v>
      </c>
      <c r="L975" s="103" t="e">
        <f t="shared" ca="1" si="192"/>
        <v>#REF!</v>
      </c>
      <c r="M975" s="103" t="e">
        <f t="shared" ca="1" si="193"/>
        <v>#REF!</v>
      </c>
      <c r="N975" s="104" t="e">
        <f t="shared" ca="1" si="194"/>
        <v>#REF!</v>
      </c>
    </row>
    <row r="976" spans="1:14">
      <c r="A976" s="96">
        <v>938</v>
      </c>
      <c r="B976" s="102" t="e">
        <f t="shared" ca="1" si="182"/>
        <v>#REF!</v>
      </c>
      <c r="C976" s="102" t="e">
        <f t="shared" ca="1" si="183"/>
        <v>#REF!</v>
      </c>
      <c r="D976" s="102" t="e">
        <f t="shared" ca="1" si="184"/>
        <v>#REF!</v>
      </c>
      <c r="E976" s="102" t="e">
        <f t="shared" ca="1" si="185"/>
        <v>#REF!</v>
      </c>
      <c r="F976" s="102" t="e">
        <f t="shared" ca="1" si="186"/>
        <v>#REF!</v>
      </c>
      <c r="G976" s="103">
        <f t="shared" ca="1" si="187"/>
        <v>0.42048561314161192</v>
      </c>
      <c r="H976" s="103">
        <f t="shared" ca="1" si="188"/>
        <v>0.22237863700761984</v>
      </c>
      <c r="I976" s="103" t="e">
        <f t="shared" ca="1" si="189"/>
        <v>#REF!</v>
      </c>
      <c r="J976" s="103" t="e">
        <f t="shared" ca="1" si="190"/>
        <v>#REF!</v>
      </c>
      <c r="K976" s="103" t="e">
        <f t="shared" ca="1" si="191"/>
        <v>#REF!</v>
      </c>
      <c r="L976" s="103" t="e">
        <f t="shared" ca="1" si="192"/>
        <v>#REF!</v>
      </c>
      <c r="M976" s="103" t="e">
        <f t="shared" ca="1" si="193"/>
        <v>#REF!</v>
      </c>
      <c r="N976" s="104" t="e">
        <f t="shared" ca="1" si="194"/>
        <v>#REF!</v>
      </c>
    </row>
    <row r="977" spans="1:14">
      <c r="A977" s="95">
        <v>939</v>
      </c>
      <c r="B977" s="102" t="e">
        <f t="shared" ca="1" si="182"/>
        <v>#REF!</v>
      </c>
      <c r="C977" s="102" t="e">
        <f t="shared" ca="1" si="183"/>
        <v>#REF!</v>
      </c>
      <c r="D977" s="102" t="e">
        <f t="shared" ca="1" si="184"/>
        <v>#REF!</v>
      </c>
      <c r="E977" s="102" t="e">
        <f t="shared" ca="1" si="185"/>
        <v>#REF!</v>
      </c>
      <c r="F977" s="102" t="e">
        <f t="shared" ca="1" si="186"/>
        <v>#REF!</v>
      </c>
      <c r="G977" s="103">
        <f t="shared" ca="1" si="187"/>
        <v>0.465944060310856</v>
      </c>
      <c r="H977" s="103">
        <f t="shared" ca="1" si="188"/>
        <v>0.19733758200497825</v>
      </c>
      <c r="I977" s="103" t="e">
        <f t="shared" ca="1" si="189"/>
        <v>#REF!</v>
      </c>
      <c r="J977" s="103" t="e">
        <f t="shared" ca="1" si="190"/>
        <v>#REF!</v>
      </c>
      <c r="K977" s="103" t="e">
        <f t="shared" ca="1" si="191"/>
        <v>#REF!</v>
      </c>
      <c r="L977" s="103" t="e">
        <f t="shared" ca="1" si="192"/>
        <v>#REF!</v>
      </c>
      <c r="M977" s="103" t="e">
        <f t="shared" ca="1" si="193"/>
        <v>#REF!</v>
      </c>
      <c r="N977" s="104" t="e">
        <f t="shared" ca="1" si="194"/>
        <v>#REF!</v>
      </c>
    </row>
    <row r="978" spans="1:14">
      <c r="A978" s="96">
        <v>940</v>
      </c>
      <c r="B978" s="102" t="e">
        <f t="shared" ca="1" si="182"/>
        <v>#REF!</v>
      </c>
      <c r="C978" s="102" t="e">
        <f t="shared" ca="1" si="183"/>
        <v>#REF!</v>
      </c>
      <c r="D978" s="102" t="e">
        <f t="shared" ca="1" si="184"/>
        <v>#REF!</v>
      </c>
      <c r="E978" s="102" t="e">
        <f t="shared" ca="1" si="185"/>
        <v>#REF!</v>
      </c>
      <c r="F978" s="102" t="e">
        <f t="shared" ca="1" si="186"/>
        <v>#REF!</v>
      </c>
      <c r="G978" s="103">
        <f t="shared" ca="1" si="187"/>
        <v>0.41645810696195762</v>
      </c>
      <c r="H978" s="103">
        <f t="shared" ca="1" si="188"/>
        <v>0.21442177621785585</v>
      </c>
      <c r="I978" s="103" t="e">
        <f t="shared" ca="1" si="189"/>
        <v>#REF!</v>
      </c>
      <c r="J978" s="103" t="e">
        <f t="shared" ca="1" si="190"/>
        <v>#REF!</v>
      </c>
      <c r="K978" s="103" t="e">
        <f t="shared" ca="1" si="191"/>
        <v>#REF!</v>
      </c>
      <c r="L978" s="103" t="e">
        <f t="shared" ca="1" si="192"/>
        <v>#REF!</v>
      </c>
      <c r="M978" s="103" t="e">
        <f t="shared" ca="1" si="193"/>
        <v>#REF!</v>
      </c>
      <c r="N978" s="104" t="e">
        <f t="shared" ca="1" si="194"/>
        <v>#REF!</v>
      </c>
    </row>
    <row r="979" spans="1:14">
      <c r="A979" s="95">
        <v>941</v>
      </c>
      <c r="B979" s="102" t="e">
        <f t="shared" ca="1" si="182"/>
        <v>#REF!</v>
      </c>
      <c r="C979" s="102" t="e">
        <f t="shared" ca="1" si="183"/>
        <v>#REF!</v>
      </c>
      <c r="D979" s="102" t="e">
        <f t="shared" ca="1" si="184"/>
        <v>#REF!</v>
      </c>
      <c r="E979" s="102" t="e">
        <f t="shared" ca="1" si="185"/>
        <v>#REF!</v>
      </c>
      <c r="F979" s="102" t="e">
        <f t="shared" ca="1" si="186"/>
        <v>#REF!</v>
      </c>
      <c r="G979" s="103">
        <f t="shared" ca="1" si="187"/>
        <v>0.41232839701000068</v>
      </c>
      <c r="H979" s="103">
        <f t="shared" ca="1" si="188"/>
        <v>0.14872784560022501</v>
      </c>
      <c r="I979" s="103" t="e">
        <f t="shared" ca="1" si="189"/>
        <v>#REF!</v>
      </c>
      <c r="J979" s="103" t="e">
        <f t="shared" ca="1" si="190"/>
        <v>#REF!</v>
      </c>
      <c r="K979" s="103" t="e">
        <f t="shared" ca="1" si="191"/>
        <v>#REF!</v>
      </c>
      <c r="L979" s="103" t="e">
        <f t="shared" ca="1" si="192"/>
        <v>#REF!</v>
      </c>
      <c r="M979" s="103" t="e">
        <f t="shared" ca="1" si="193"/>
        <v>#REF!</v>
      </c>
      <c r="N979" s="104" t="e">
        <f t="shared" ca="1" si="194"/>
        <v>#REF!</v>
      </c>
    </row>
    <row r="980" spans="1:14">
      <c r="A980" s="96">
        <v>942</v>
      </c>
      <c r="B980" s="102" t="e">
        <f t="shared" ca="1" si="182"/>
        <v>#REF!</v>
      </c>
      <c r="C980" s="102" t="e">
        <f t="shared" ca="1" si="183"/>
        <v>#REF!</v>
      </c>
      <c r="D980" s="102" t="e">
        <f t="shared" ca="1" si="184"/>
        <v>#REF!</v>
      </c>
      <c r="E980" s="102" t="e">
        <f t="shared" ca="1" si="185"/>
        <v>#REF!</v>
      </c>
      <c r="F980" s="102" t="e">
        <f t="shared" ca="1" si="186"/>
        <v>#REF!</v>
      </c>
      <c r="G980" s="103">
        <f t="shared" ca="1" si="187"/>
        <v>0.42421913123414101</v>
      </c>
      <c r="H980" s="103">
        <f t="shared" ca="1" si="188"/>
        <v>0.18276206647689985</v>
      </c>
      <c r="I980" s="103" t="e">
        <f t="shared" ca="1" si="189"/>
        <v>#REF!</v>
      </c>
      <c r="J980" s="103" t="e">
        <f t="shared" ca="1" si="190"/>
        <v>#REF!</v>
      </c>
      <c r="K980" s="103" t="e">
        <f t="shared" ca="1" si="191"/>
        <v>#REF!</v>
      </c>
      <c r="L980" s="103" t="e">
        <f t="shared" ca="1" si="192"/>
        <v>#REF!</v>
      </c>
      <c r="M980" s="103" t="e">
        <f t="shared" ca="1" si="193"/>
        <v>#REF!</v>
      </c>
      <c r="N980" s="104" t="e">
        <f t="shared" ca="1" si="194"/>
        <v>#REF!</v>
      </c>
    </row>
    <row r="981" spans="1:14">
      <c r="A981" s="95">
        <v>943</v>
      </c>
      <c r="B981" s="102" t="e">
        <f t="shared" ca="1" si="182"/>
        <v>#REF!</v>
      </c>
      <c r="C981" s="102" t="e">
        <f t="shared" ca="1" si="183"/>
        <v>#REF!</v>
      </c>
      <c r="D981" s="102" t="e">
        <f t="shared" ca="1" si="184"/>
        <v>#REF!</v>
      </c>
      <c r="E981" s="102" t="e">
        <f t="shared" ca="1" si="185"/>
        <v>#REF!</v>
      </c>
      <c r="F981" s="102" t="e">
        <f t="shared" ca="1" si="186"/>
        <v>#REF!</v>
      </c>
      <c r="G981" s="103">
        <f t="shared" ca="1" si="187"/>
        <v>0.4069370698032645</v>
      </c>
      <c r="H981" s="103">
        <f t="shared" ca="1" si="188"/>
        <v>0.22838463031489789</v>
      </c>
      <c r="I981" s="103" t="e">
        <f t="shared" ca="1" si="189"/>
        <v>#REF!</v>
      </c>
      <c r="J981" s="103" t="e">
        <f t="shared" ca="1" si="190"/>
        <v>#REF!</v>
      </c>
      <c r="K981" s="103" t="e">
        <f t="shared" ca="1" si="191"/>
        <v>#REF!</v>
      </c>
      <c r="L981" s="103" t="e">
        <f t="shared" ca="1" si="192"/>
        <v>#REF!</v>
      </c>
      <c r="M981" s="103" t="e">
        <f t="shared" ca="1" si="193"/>
        <v>#REF!</v>
      </c>
      <c r="N981" s="104" t="e">
        <f t="shared" ca="1" si="194"/>
        <v>#REF!</v>
      </c>
    </row>
    <row r="982" spans="1:14">
      <c r="A982" s="96">
        <v>944</v>
      </c>
      <c r="B982" s="102" t="e">
        <f t="shared" ca="1" si="182"/>
        <v>#REF!</v>
      </c>
      <c r="C982" s="102" t="e">
        <f t="shared" ca="1" si="183"/>
        <v>#REF!</v>
      </c>
      <c r="D982" s="102" t="e">
        <f t="shared" ca="1" si="184"/>
        <v>#REF!</v>
      </c>
      <c r="E982" s="102" t="e">
        <f t="shared" ca="1" si="185"/>
        <v>#REF!</v>
      </c>
      <c r="F982" s="102" t="e">
        <f t="shared" ca="1" si="186"/>
        <v>#REF!</v>
      </c>
      <c r="G982" s="103">
        <f t="shared" ca="1" si="187"/>
        <v>0.45673935257057718</v>
      </c>
      <c r="H982" s="103">
        <f t="shared" ca="1" si="188"/>
        <v>0.23166110701246972</v>
      </c>
      <c r="I982" s="103" t="e">
        <f t="shared" ca="1" si="189"/>
        <v>#REF!</v>
      </c>
      <c r="J982" s="103" t="e">
        <f t="shared" ca="1" si="190"/>
        <v>#REF!</v>
      </c>
      <c r="K982" s="103" t="e">
        <f t="shared" ca="1" si="191"/>
        <v>#REF!</v>
      </c>
      <c r="L982" s="103" t="e">
        <f t="shared" ca="1" si="192"/>
        <v>#REF!</v>
      </c>
      <c r="M982" s="103" t="e">
        <f t="shared" ca="1" si="193"/>
        <v>#REF!</v>
      </c>
      <c r="N982" s="104" t="e">
        <f t="shared" ca="1" si="194"/>
        <v>#REF!</v>
      </c>
    </row>
    <row r="983" spans="1:14">
      <c r="A983" s="95">
        <v>945</v>
      </c>
      <c r="B983" s="102" t="e">
        <f t="shared" ca="1" si="182"/>
        <v>#REF!</v>
      </c>
      <c r="C983" s="102" t="e">
        <f t="shared" ca="1" si="183"/>
        <v>#REF!</v>
      </c>
      <c r="D983" s="102" t="e">
        <f t="shared" ca="1" si="184"/>
        <v>#REF!</v>
      </c>
      <c r="E983" s="102" t="e">
        <f t="shared" ca="1" si="185"/>
        <v>#REF!</v>
      </c>
      <c r="F983" s="102" t="e">
        <f t="shared" ca="1" si="186"/>
        <v>#REF!</v>
      </c>
      <c r="G983" s="103">
        <f t="shared" ca="1" si="187"/>
        <v>0.40941553667653785</v>
      </c>
      <c r="H983" s="103">
        <f t="shared" ca="1" si="188"/>
        <v>0.19933743240718108</v>
      </c>
      <c r="I983" s="103" t="e">
        <f t="shared" ca="1" si="189"/>
        <v>#REF!</v>
      </c>
      <c r="J983" s="103" t="e">
        <f t="shared" ca="1" si="190"/>
        <v>#REF!</v>
      </c>
      <c r="K983" s="103" t="e">
        <f t="shared" ca="1" si="191"/>
        <v>#REF!</v>
      </c>
      <c r="L983" s="103" t="e">
        <f t="shared" ca="1" si="192"/>
        <v>#REF!</v>
      </c>
      <c r="M983" s="103" t="e">
        <f t="shared" ca="1" si="193"/>
        <v>#REF!</v>
      </c>
      <c r="N983" s="104" t="e">
        <f t="shared" ca="1" si="194"/>
        <v>#REF!</v>
      </c>
    </row>
    <row r="984" spans="1:14">
      <c r="A984" s="96">
        <v>946</v>
      </c>
      <c r="B984" s="102" t="e">
        <f t="shared" ca="1" si="182"/>
        <v>#REF!</v>
      </c>
      <c r="C984" s="102" t="e">
        <f t="shared" ca="1" si="183"/>
        <v>#REF!</v>
      </c>
      <c r="D984" s="102" t="e">
        <f t="shared" ca="1" si="184"/>
        <v>#REF!</v>
      </c>
      <c r="E984" s="102" t="e">
        <f t="shared" ca="1" si="185"/>
        <v>#REF!</v>
      </c>
      <c r="F984" s="102" t="e">
        <f t="shared" ca="1" si="186"/>
        <v>#REF!</v>
      </c>
      <c r="G984" s="103">
        <f t="shared" ca="1" si="187"/>
        <v>0.4684179468992134</v>
      </c>
      <c r="H984" s="103">
        <f t="shared" ca="1" si="188"/>
        <v>0.19052027174853317</v>
      </c>
      <c r="I984" s="103" t="e">
        <f t="shared" ca="1" si="189"/>
        <v>#REF!</v>
      </c>
      <c r="J984" s="103" t="e">
        <f t="shared" ca="1" si="190"/>
        <v>#REF!</v>
      </c>
      <c r="K984" s="103" t="e">
        <f t="shared" ca="1" si="191"/>
        <v>#REF!</v>
      </c>
      <c r="L984" s="103" t="e">
        <f t="shared" ca="1" si="192"/>
        <v>#REF!</v>
      </c>
      <c r="M984" s="103" t="e">
        <f t="shared" ca="1" si="193"/>
        <v>#REF!</v>
      </c>
      <c r="N984" s="104" t="e">
        <f t="shared" ca="1" si="194"/>
        <v>#REF!</v>
      </c>
    </row>
    <row r="985" spans="1:14">
      <c r="A985" s="95">
        <v>947</v>
      </c>
      <c r="B985" s="102" t="e">
        <f t="shared" ca="1" si="182"/>
        <v>#REF!</v>
      </c>
      <c r="C985" s="102" t="e">
        <f t="shared" ca="1" si="183"/>
        <v>#REF!</v>
      </c>
      <c r="D985" s="102" t="e">
        <f t="shared" ca="1" si="184"/>
        <v>#REF!</v>
      </c>
      <c r="E985" s="102" t="e">
        <f t="shared" ca="1" si="185"/>
        <v>#REF!</v>
      </c>
      <c r="F985" s="102" t="e">
        <f t="shared" ca="1" si="186"/>
        <v>#REF!</v>
      </c>
      <c r="G985" s="103">
        <f t="shared" ca="1" si="187"/>
        <v>0.36918128345274459</v>
      </c>
      <c r="H985" s="103">
        <f t="shared" ca="1" si="188"/>
        <v>0.1939760619192254</v>
      </c>
      <c r="I985" s="103" t="e">
        <f t="shared" ca="1" si="189"/>
        <v>#REF!</v>
      </c>
      <c r="J985" s="103" t="e">
        <f t="shared" ca="1" si="190"/>
        <v>#REF!</v>
      </c>
      <c r="K985" s="103" t="e">
        <f t="shared" ca="1" si="191"/>
        <v>#REF!</v>
      </c>
      <c r="L985" s="103" t="e">
        <f t="shared" ca="1" si="192"/>
        <v>#REF!</v>
      </c>
      <c r="M985" s="103" t="e">
        <f t="shared" ca="1" si="193"/>
        <v>#REF!</v>
      </c>
      <c r="N985" s="104" t="e">
        <f t="shared" ca="1" si="194"/>
        <v>#REF!</v>
      </c>
    </row>
    <row r="986" spans="1:14">
      <c r="A986" s="96">
        <v>948</v>
      </c>
      <c r="B986" s="102" t="e">
        <f t="shared" ca="1" si="182"/>
        <v>#REF!</v>
      </c>
      <c r="C986" s="102" t="e">
        <f t="shared" ca="1" si="183"/>
        <v>#REF!</v>
      </c>
      <c r="D986" s="102" t="e">
        <f t="shared" ca="1" si="184"/>
        <v>#REF!</v>
      </c>
      <c r="E986" s="102" t="e">
        <f t="shared" ca="1" si="185"/>
        <v>#REF!</v>
      </c>
      <c r="F986" s="102" t="e">
        <f t="shared" ca="1" si="186"/>
        <v>#REF!</v>
      </c>
      <c r="G986" s="103">
        <f t="shared" ca="1" si="187"/>
        <v>0.43455187264146955</v>
      </c>
      <c r="H986" s="103">
        <f t="shared" ca="1" si="188"/>
        <v>0.20061087059835761</v>
      </c>
      <c r="I986" s="103" t="e">
        <f t="shared" ca="1" si="189"/>
        <v>#REF!</v>
      </c>
      <c r="J986" s="103" t="e">
        <f t="shared" ca="1" si="190"/>
        <v>#REF!</v>
      </c>
      <c r="K986" s="103" t="e">
        <f t="shared" ca="1" si="191"/>
        <v>#REF!</v>
      </c>
      <c r="L986" s="103" t="e">
        <f t="shared" ca="1" si="192"/>
        <v>#REF!</v>
      </c>
      <c r="M986" s="103" t="e">
        <f t="shared" ca="1" si="193"/>
        <v>#REF!</v>
      </c>
      <c r="N986" s="104" t="e">
        <f t="shared" ca="1" si="194"/>
        <v>#REF!</v>
      </c>
    </row>
    <row r="987" spans="1:14">
      <c r="A987" s="95">
        <v>949</v>
      </c>
      <c r="B987" s="102" t="e">
        <f t="shared" ca="1" si="182"/>
        <v>#REF!</v>
      </c>
      <c r="C987" s="102" t="e">
        <f t="shared" ca="1" si="183"/>
        <v>#REF!</v>
      </c>
      <c r="D987" s="102" t="e">
        <f t="shared" ca="1" si="184"/>
        <v>#REF!</v>
      </c>
      <c r="E987" s="102" t="e">
        <f t="shared" ca="1" si="185"/>
        <v>#REF!</v>
      </c>
      <c r="F987" s="102" t="e">
        <f t="shared" ca="1" si="186"/>
        <v>#REF!</v>
      </c>
      <c r="G987" s="103">
        <f t="shared" ca="1" si="187"/>
        <v>0.44369670301530512</v>
      </c>
      <c r="H987" s="103">
        <f t="shared" ca="1" si="188"/>
        <v>0.18699698621000299</v>
      </c>
      <c r="I987" s="103" t="e">
        <f t="shared" ca="1" si="189"/>
        <v>#REF!</v>
      </c>
      <c r="J987" s="103" t="e">
        <f t="shared" ca="1" si="190"/>
        <v>#REF!</v>
      </c>
      <c r="K987" s="103" t="e">
        <f t="shared" ca="1" si="191"/>
        <v>#REF!</v>
      </c>
      <c r="L987" s="103" t="e">
        <f t="shared" ca="1" si="192"/>
        <v>#REF!</v>
      </c>
      <c r="M987" s="103" t="e">
        <f t="shared" ca="1" si="193"/>
        <v>#REF!</v>
      </c>
      <c r="N987" s="104" t="e">
        <f t="shared" ca="1" si="194"/>
        <v>#REF!</v>
      </c>
    </row>
    <row r="988" spans="1:14">
      <c r="A988" s="96">
        <v>950</v>
      </c>
      <c r="B988" s="102" t="e">
        <f t="shared" ca="1" si="182"/>
        <v>#REF!</v>
      </c>
      <c r="C988" s="102" t="e">
        <f t="shared" ca="1" si="183"/>
        <v>#REF!</v>
      </c>
      <c r="D988" s="102" t="e">
        <f t="shared" ca="1" si="184"/>
        <v>#REF!</v>
      </c>
      <c r="E988" s="102" t="e">
        <f t="shared" ca="1" si="185"/>
        <v>#REF!</v>
      </c>
      <c r="F988" s="102" t="e">
        <f t="shared" ca="1" si="186"/>
        <v>#REF!</v>
      </c>
      <c r="G988" s="103">
        <f t="shared" ca="1" si="187"/>
        <v>0.46395701399572314</v>
      </c>
      <c r="H988" s="103">
        <f t="shared" ca="1" si="188"/>
        <v>0.21291840490652744</v>
      </c>
      <c r="I988" s="103" t="e">
        <f t="shared" ca="1" si="189"/>
        <v>#REF!</v>
      </c>
      <c r="J988" s="103" t="e">
        <f t="shared" ca="1" si="190"/>
        <v>#REF!</v>
      </c>
      <c r="K988" s="103" t="e">
        <f t="shared" ca="1" si="191"/>
        <v>#REF!</v>
      </c>
      <c r="L988" s="103" t="e">
        <f t="shared" ca="1" si="192"/>
        <v>#REF!</v>
      </c>
      <c r="M988" s="103" t="e">
        <f t="shared" ca="1" si="193"/>
        <v>#REF!</v>
      </c>
      <c r="N988" s="104" t="e">
        <f t="shared" ca="1" si="194"/>
        <v>#REF!</v>
      </c>
    </row>
    <row r="989" spans="1:14">
      <c r="A989" s="95">
        <v>951</v>
      </c>
      <c r="B989" s="102" t="e">
        <f t="shared" ca="1" si="182"/>
        <v>#REF!</v>
      </c>
      <c r="C989" s="102" t="e">
        <f t="shared" ca="1" si="183"/>
        <v>#REF!</v>
      </c>
      <c r="D989" s="102" t="e">
        <f t="shared" ca="1" si="184"/>
        <v>#REF!</v>
      </c>
      <c r="E989" s="102" t="e">
        <f t="shared" ca="1" si="185"/>
        <v>#REF!</v>
      </c>
      <c r="F989" s="102" t="e">
        <f t="shared" ca="1" si="186"/>
        <v>#REF!</v>
      </c>
      <c r="G989" s="103">
        <f t="shared" ca="1" si="187"/>
        <v>0.47106855032840972</v>
      </c>
      <c r="H989" s="103">
        <f t="shared" ca="1" si="188"/>
        <v>0.20373530789031033</v>
      </c>
      <c r="I989" s="103" t="e">
        <f t="shared" ca="1" si="189"/>
        <v>#REF!</v>
      </c>
      <c r="J989" s="103" t="e">
        <f t="shared" ca="1" si="190"/>
        <v>#REF!</v>
      </c>
      <c r="K989" s="103" t="e">
        <f t="shared" ca="1" si="191"/>
        <v>#REF!</v>
      </c>
      <c r="L989" s="103" t="e">
        <f t="shared" ca="1" si="192"/>
        <v>#REF!</v>
      </c>
      <c r="M989" s="103" t="e">
        <f t="shared" ca="1" si="193"/>
        <v>#REF!</v>
      </c>
      <c r="N989" s="104" t="e">
        <f t="shared" ca="1" si="194"/>
        <v>#REF!</v>
      </c>
    </row>
    <row r="990" spans="1:14">
      <c r="A990" s="96">
        <v>952</v>
      </c>
      <c r="B990" s="102" t="e">
        <f t="shared" ca="1" si="182"/>
        <v>#REF!</v>
      </c>
      <c r="C990" s="102" t="e">
        <f t="shared" ca="1" si="183"/>
        <v>#REF!</v>
      </c>
      <c r="D990" s="102" t="e">
        <f t="shared" ca="1" si="184"/>
        <v>#REF!</v>
      </c>
      <c r="E990" s="102" t="e">
        <f t="shared" ca="1" si="185"/>
        <v>#REF!</v>
      </c>
      <c r="F990" s="102" t="e">
        <f t="shared" ca="1" si="186"/>
        <v>#REF!</v>
      </c>
      <c r="G990" s="103">
        <f t="shared" ca="1" si="187"/>
        <v>0.43527847788796459</v>
      </c>
      <c r="H990" s="103">
        <f t="shared" ca="1" si="188"/>
        <v>0.21711761919357553</v>
      </c>
      <c r="I990" s="103" t="e">
        <f t="shared" ca="1" si="189"/>
        <v>#REF!</v>
      </c>
      <c r="J990" s="103" t="e">
        <f t="shared" ca="1" si="190"/>
        <v>#REF!</v>
      </c>
      <c r="K990" s="103" t="e">
        <f t="shared" ca="1" si="191"/>
        <v>#REF!</v>
      </c>
      <c r="L990" s="103" t="e">
        <f t="shared" ca="1" si="192"/>
        <v>#REF!</v>
      </c>
      <c r="M990" s="103" t="e">
        <f t="shared" ca="1" si="193"/>
        <v>#REF!</v>
      </c>
      <c r="N990" s="104" t="e">
        <f t="shared" ca="1" si="194"/>
        <v>#REF!</v>
      </c>
    </row>
    <row r="991" spans="1:14">
      <c r="A991" s="95">
        <v>953</v>
      </c>
      <c r="B991" s="102" t="e">
        <f t="shared" ca="1" si="182"/>
        <v>#REF!</v>
      </c>
      <c r="C991" s="102" t="e">
        <f t="shared" ca="1" si="183"/>
        <v>#REF!</v>
      </c>
      <c r="D991" s="102" t="e">
        <f t="shared" ca="1" si="184"/>
        <v>#REF!</v>
      </c>
      <c r="E991" s="102" t="e">
        <f t="shared" ca="1" si="185"/>
        <v>#REF!</v>
      </c>
      <c r="F991" s="102" t="e">
        <f t="shared" ca="1" si="186"/>
        <v>#REF!</v>
      </c>
      <c r="G991" s="103">
        <f t="shared" ca="1" si="187"/>
        <v>0.42026758669389275</v>
      </c>
      <c r="H991" s="103">
        <f t="shared" ca="1" si="188"/>
        <v>0.19856212314378691</v>
      </c>
      <c r="I991" s="103" t="e">
        <f t="shared" ca="1" si="189"/>
        <v>#REF!</v>
      </c>
      <c r="J991" s="103" t="e">
        <f t="shared" ca="1" si="190"/>
        <v>#REF!</v>
      </c>
      <c r="K991" s="103" t="e">
        <f t="shared" ca="1" si="191"/>
        <v>#REF!</v>
      </c>
      <c r="L991" s="103" t="e">
        <f t="shared" ca="1" si="192"/>
        <v>#REF!</v>
      </c>
      <c r="M991" s="103" t="e">
        <f t="shared" ca="1" si="193"/>
        <v>#REF!</v>
      </c>
      <c r="N991" s="104" t="e">
        <f t="shared" ca="1" si="194"/>
        <v>#REF!</v>
      </c>
    </row>
    <row r="992" spans="1:14">
      <c r="A992" s="96">
        <v>954</v>
      </c>
      <c r="B992" s="102" t="e">
        <f t="shared" ca="1" si="182"/>
        <v>#REF!</v>
      </c>
      <c r="C992" s="102" t="e">
        <f t="shared" ca="1" si="183"/>
        <v>#REF!</v>
      </c>
      <c r="D992" s="102" t="e">
        <f t="shared" ca="1" si="184"/>
        <v>#REF!</v>
      </c>
      <c r="E992" s="102" t="e">
        <f t="shared" ca="1" si="185"/>
        <v>#REF!</v>
      </c>
      <c r="F992" s="102" t="e">
        <f t="shared" ca="1" si="186"/>
        <v>#REF!</v>
      </c>
      <c r="G992" s="103">
        <f t="shared" ca="1" si="187"/>
        <v>0.39127608230481831</v>
      </c>
      <c r="H992" s="103">
        <f t="shared" ca="1" si="188"/>
        <v>0.19444432603379799</v>
      </c>
      <c r="I992" s="103" t="e">
        <f t="shared" ca="1" si="189"/>
        <v>#REF!</v>
      </c>
      <c r="J992" s="103" t="e">
        <f t="shared" ca="1" si="190"/>
        <v>#REF!</v>
      </c>
      <c r="K992" s="103" t="e">
        <f t="shared" ca="1" si="191"/>
        <v>#REF!</v>
      </c>
      <c r="L992" s="103" t="e">
        <f t="shared" ca="1" si="192"/>
        <v>#REF!</v>
      </c>
      <c r="M992" s="103" t="e">
        <f t="shared" ca="1" si="193"/>
        <v>#REF!</v>
      </c>
      <c r="N992" s="104" t="e">
        <f t="shared" ca="1" si="194"/>
        <v>#REF!</v>
      </c>
    </row>
    <row r="993" spans="1:14">
      <c r="A993" s="95">
        <v>955</v>
      </c>
      <c r="B993" s="102" t="e">
        <f t="shared" ca="1" si="182"/>
        <v>#REF!</v>
      </c>
      <c r="C993" s="102" t="e">
        <f t="shared" ca="1" si="183"/>
        <v>#REF!</v>
      </c>
      <c r="D993" s="102" t="e">
        <f t="shared" ca="1" si="184"/>
        <v>#REF!</v>
      </c>
      <c r="E993" s="102" t="e">
        <f t="shared" ca="1" si="185"/>
        <v>#REF!</v>
      </c>
      <c r="F993" s="102" t="e">
        <f t="shared" ca="1" si="186"/>
        <v>#REF!</v>
      </c>
      <c r="G993" s="103">
        <f t="shared" ca="1" si="187"/>
        <v>0.37967244737815342</v>
      </c>
      <c r="H993" s="103">
        <f t="shared" ca="1" si="188"/>
        <v>0.18303608764720414</v>
      </c>
      <c r="I993" s="103" t="e">
        <f t="shared" ca="1" si="189"/>
        <v>#REF!</v>
      </c>
      <c r="J993" s="103" t="e">
        <f t="shared" ca="1" si="190"/>
        <v>#REF!</v>
      </c>
      <c r="K993" s="103" t="e">
        <f t="shared" ca="1" si="191"/>
        <v>#REF!</v>
      </c>
      <c r="L993" s="103" t="e">
        <f t="shared" ca="1" si="192"/>
        <v>#REF!</v>
      </c>
      <c r="M993" s="103" t="e">
        <f t="shared" ca="1" si="193"/>
        <v>#REF!</v>
      </c>
      <c r="N993" s="104" t="e">
        <f t="shared" ca="1" si="194"/>
        <v>#REF!</v>
      </c>
    </row>
    <row r="994" spans="1:14">
      <c r="A994" s="96">
        <v>956</v>
      </c>
      <c r="B994" s="102" t="e">
        <f t="shared" ca="1" si="182"/>
        <v>#REF!</v>
      </c>
      <c r="C994" s="102" t="e">
        <f t="shared" ca="1" si="183"/>
        <v>#REF!</v>
      </c>
      <c r="D994" s="102" t="e">
        <f t="shared" ca="1" si="184"/>
        <v>#REF!</v>
      </c>
      <c r="E994" s="102" t="e">
        <f t="shared" ca="1" si="185"/>
        <v>#REF!</v>
      </c>
      <c r="F994" s="102" t="e">
        <f t="shared" ca="1" si="186"/>
        <v>#REF!</v>
      </c>
      <c r="G994" s="103">
        <f t="shared" ca="1" si="187"/>
        <v>0.43438216615672937</v>
      </c>
      <c r="H994" s="103">
        <f t="shared" ca="1" si="188"/>
        <v>0.18702849681657496</v>
      </c>
      <c r="I994" s="103" t="e">
        <f t="shared" ca="1" si="189"/>
        <v>#REF!</v>
      </c>
      <c r="J994" s="103" t="e">
        <f t="shared" ca="1" si="190"/>
        <v>#REF!</v>
      </c>
      <c r="K994" s="103" t="e">
        <f t="shared" ca="1" si="191"/>
        <v>#REF!</v>
      </c>
      <c r="L994" s="103" t="e">
        <f t="shared" ca="1" si="192"/>
        <v>#REF!</v>
      </c>
      <c r="M994" s="103" t="e">
        <f t="shared" ca="1" si="193"/>
        <v>#REF!</v>
      </c>
      <c r="N994" s="104" t="e">
        <f t="shared" ca="1" si="194"/>
        <v>#REF!</v>
      </c>
    </row>
    <row r="995" spans="1:14">
      <c r="A995" s="95">
        <v>957</v>
      </c>
      <c r="B995" s="102" t="e">
        <f t="shared" ca="1" si="182"/>
        <v>#REF!</v>
      </c>
      <c r="C995" s="102" t="e">
        <f t="shared" ca="1" si="183"/>
        <v>#REF!</v>
      </c>
      <c r="D995" s="102" t="e">
        <f t="shared" ca="1" si="184"/>
        <v>#REF!</v>
      </c>
      <c r="E995" s="102" t="e">
        <f t="shared" ca="1" si="185"/>
        <v>#REF!</v>
      </c>
      <c r="F995" s="102" t="e">
        <f t="shared" ca="1" si="186"/>
        <v>#REF!</v>
      </c>
      <c r="G995" s="103">
        <f t="shared" ca="1" si="187"/>
        <v>0.43515266396332752</v>
      </c>
      <c r="H995" s="103">
        <f t="shared" ca="1" si="188"/>
        <v>0.21384933070182494</v>
      </c>
      <c r="I995" s="103" t="e">
        <f t="shared" ca="1" si="189"/>
        <v>#REF!</v>
      </c>
      <c r="J995" s="103" t="e">
        <f t="shared" ca="1" si="190"/>
        <v>#REF!</v>
      </c>
      <c r="K995" s="103" t="e">
        <f t="shared" ca="1" si="191"/>
        <v>#REF!</v>
      </c>
      <c r="L995" s="103" t="e">
        <f t="shared" ca="1" si="192"/>
        <v>#REF!</v>
      </c>
      <c r="M995" s="103" t="e">
        <f t="shared" ca="1" si="193"/>
        <v>#REF!</v>
      </c>
      <c r="N995" s="104" t="e">
        <f t="shared" ca="1" si="194"/>
        <v>#REF!</v>
      </c>
    </row>
    <row r="996" spans="1:14">
      <c r="A996" s="96">
        <v>958</v>
      </c>
      <c r="B996" s="102" t="e">
        <f t="shared" ca="1" si="182"/>
        <v>#REF!</v>
      </c>
      <c r="C996" s="102" t="e">
        <f t="shared" ca="1" si="183"/>
        <v>#REF!</v>
      </c>
      <c r="D996" s="102" t="e">
        <f t="shared" ca="1" si="184"/>
        <v>#REF!</v>
      </c>
      <c r="E996" s="102" t="e">
        <f t="shared" ca="1" si="185"/>
        <v>#REF!</v>
      </c>
      <c r="F996" s="102" t="e">
        <f t="shared" ca="1" si="186"/>
        <v>#REF!</v>
      </c>
      <c r="G996" s="103">
        <f t="shared" ca="1" si="187"/>
        <v>0.42836618227372597</v>
      </c>
      <c r="H996" s="103">
        <f t="shared" ca="1" si="188"/>
        <v>0.19495271555611199</v>
      </c>
      <c r="I996" s="103" t="e">
        <f t="shared" ca="1" si="189"/>
        <v>#REF!</v>
      </c>
      <c r="J996" s="103" t="e">
        <f t="shared" ca="1" si="190"/>
        <v>#REF!</v>
      </c>
      <c r="K996" s="103" t="e">
        <f t="shared" ca="1" si="191"/>
        <v>#REF!</v>
      </c>
      <c r="L996" s="103" t="e">
        <f t="shared" ca="1" si="192"/>
        <v>#REF!</v>
      </c>
      <c r="M996" s="103" t="e">
        <f t="shared" ca="1" si="193"/>
        <v>#REF!</v>
      </c>
      <c r="N996" s="104" t="e">
        <f t="shared" ca="1" si="194"/>
        <v>#REF!</v>
      </c>
    </row>
    <row r="997" spans="1:14">
      <c r="A997" s="95">
        <v>959</v>
      </c>
      <c r="B997" s="102" t="e">
        <f t="shared" ca="1" si="182"/>
        <v>#REF!</v>
      </c>
      <c r="C997" s="102" t="e">
        <f t="shared" ca="1" si="183"/>
        <v>#REF!</v>
      </c>
      <c r="D997" s="102" t="e">
        <f t="shared" ca="1" si="184"/>
        <v>#REF!</v>
      </c>
      <c r="E997" s="102" t="e">
        <f t="shared" ca="1" si="185"/>
        <v>#REF!</v>
      </c>
      <c r="F997" s="102" t="e">
        <f t="shared" ca="1" si="186"/>
        <v>#REF!</v>
      </c>
      <c r="G997" s="103">
        <f t="shared" ca="1" si="187"/>
        <v>0.43539722723263152</v>
      </c>
      <c r="H997" s="103">
        <f t="shared" ca="1" si="188"/>
        <v>0.20192962748385562</v>
      </c>
      <c r="I997" s="103" t="e">
        <f t="shared" ca="1" si="189"/>
        <v>#REF!</v>
      </c>
      <c r="J997" s="103" t="e">
        <f t="shared" ca="1" si="190"/>
        <v>#REF!</v>
      </c>
      <c r="K997" s="103" t="e">
        <f t="shared" ca="1" si="191"/>
        <v>#REF!</v>
      </c>
      <c r="L997" s="103" t="e">
        <f t="shared" ca="1" si="192"/>
        <v>#REF!</v>
      </c>
      <c r="M997" s="103" t="e">
        <f t="shared" ca="1" si="193"/>
        <v>#REF!</v>
      </c>
      <c r="N997" s="104" t="e">
        <f t="shared" ca="1" si="194"/>
        <v>#REF!</v>
      </c>
    </row>
    <row r="998" spans="1:14">
      <c r="A998" s="96">
        <v>960</v>
      </c>
      <c r="B998" s="102" t="e">
        <f t="shared" ca="1" si="182"/>
        <v>#REF!</v>
      </c>
      <c r="C998" s="102" t="e">
        <f t="shared" ca="1" si="183"/>
        <v>#REF!</v>
      </c>
      <c r="D998" s="102" t="e">
        <f t="shared" ca="1" si="184"/>
        <v>#REF!</v>
      </c>
      <c r="E998" s="102" t="e">
        <f t="shared" ca="1" si="185"/>
        <v>#REF!</v>
      </c>
      <c r="F998" s="102" t="e">
        <f t="shared" ca="1" si="186"/>
        <v>#REF!</v>
      </c>
      <c r="G998" s="103">
        <f t="shared" ca="1" si="187"/>
        <v>0.42614417534648208</v>
      </c>
      <c r="H998" s="103">
        <f t="shared" ca="1" si="188"/>
        <v>0.20122072741007227</v>
      </c>
      <c r="I998" s="103" t="e">
        <f t="shared" ca="1" si="189"/>
        <v>#REF!</v>
      </c>
      <c r="J998" s="103" t="e">
        <f t="shared" ca="1" si="190"/>
        <v>#REF!</v>
      </c>
      <c r="K998" s="103" t="e">
        <f t="shared" ca="1" si="191"/>
        <v>#REF!</v>
      </c>
      <c r="L998" s="103" t="e">
        <f t="shared" ca="1" si="192"/>
        <v>#REF!</v>
      </c>
      <c r="M998" s="103" t="e">
        <f t="shared" ca="1" si="193"/>
        <v>#REF!</v>
      </c>
      <c r="N998" s="104" t="e">
        <f t="shared" ca="1" si="194"/>
        <v>#REF!</v>
      </c>
    </row>
    <row r="999" spans="1:14">
      <c r="A999" s="95">
        <v>961</v>
      </c>
      <c r="B999" s="102" t="e">
        <f t="shared" ca="1" si="182"/>
        <v>#REF!</v>
      </c>
      <c r="C999" s="102" t="e">
        <f t="shared" ca="1" si="183"/>
        <v>#REF!</v>
      </c>
      <c r="D999" s="102" t="e">
        <f t="shared" ca="1" si="184"/>
        <v>#REF!</v>
      </c>
      <c r="E999" s="102" t="e">
        <f t="shared" ca="1" si="185"/>
        <v>#REF!</v>
      </c>
      <c r="F999" s="102" t="e">
        <f t="shared" ca="1" si="186"/>
        <v>#REF!</v>
      </c>
      <c r="G999" s="103">
        <f t="shared" ca="1" si="187"/>
        <v>0.41244772456912349</v>
      </c>
      <c r="H999" s="103">
        <f t="shared" ca="1" si="188"/>
        <v>0.18435700277320174</v>
      </c>
      <c r="I999" s="103" t="e">
        <f t="shared" ca="1" si="189"/>
        <v>#REF!</v>
      </c>
      <c r="J999" s="103" t="e">
        <f t="shared" ca="1" si="190"/>
        <v>#REF!</v>
      </c>
      <c r="K999" s="103" t="e">
        <f t="shared" ca="1" si="191"/>
        <v>#REF!</v>
      </c>
      <c r="L999" s="103" t="e">
        <f t="shared" ca="1" si="192"/>
        <v>#REF!</v>
      </c>
      <c r="M999" s="103" t="e">
        <f t="shared" ca="1" si="193"/>
        <v>#REF!</v>
      </c>
      <c r="N999" s="104" t="e">
        <f t="shared" ca="1" si="194"/>
        <v>#REF!</v>
      </c>
    </row>
    <row r="1000" spans="1:14">
      <c r="A1000" s="96">
        <v>962</v>
      </c>
      <c r="B1000" s="102" t="e">
        <f t="shared" ref="B1000:B1038" ca="1" si="195">_xlfn.LOGNORM.INV(RAND(),$D$5,$E$5)</f>
        <v>#REF!</v>
      </c>
      <c r="C1000" s="102" t="e">
        <f t="shared" ref="C1000:C1038" ca="1" si="196">_xlfn.LOGNORM.INV(RAND(),$D$6,$E$6)</f>
        <v>#REF!</v>
      </c>
      <c r="D1000" s="102" t="e">
        <f t="shared" ref="D1000:D1038" ca="1" si="197">_xlfn.LOGNORM.INV(RAND(),$D$7,$E$7)</f>
        <v>#REF!</v>
      </c>
      <c r="E1000" s="102" t="e">
        <f t="shared" ref="E1000:E1038" ca="1" si="198">_xlfn.LOGNORM.INV(RAND(),$D$8,$E$8)</f>
        <v>#REF!</v>
      </c>
      <c r="F1000" s="102" t="e">
        <f t="shared" ref="F1000:F1038" ca="1" si="199">_xlfn.LOGNORM.INV(RAND(),$D$9,$E$9)</f>
        <v>#REF!</v>
      </c>
      <c r="G1000" s="103">
        <f t="shared" ref="G1000:G1038" ca="1" si="200">_xlfn.NORM.INV(RAND(),$B$12,$C$12)</f>
        <v>0.42677772460161423</v>
      </c>
      <c r="H1000" s="103">
        <f t="shared" ref="H1000:H1038" ca="1" si="201">_xlfn.NORM.INV(RAND(),$B$13,$C$13)</f>
        <v>0.19164973861767842</v>
      </c>
      <c r="I1000" s="103" t="e">
        <f t="shared" ref="I1000:I1038" ca="1" si="202">G1000*($E$16/24)+H1000*(1-$E$16/24)</f>
        <v>#REF!</v>
      </c>
      <c r="J1000" s="103" t="e">
        <f t="shared" ref="J1000:J1038" ca="1" si="203">G1000*($E$17/24)+H1000*(1-$E$17/24)</f>
        <v>#REF!</v>
      </c>
      <c r="K1000" s="103" t="e">
        <f t="shared" ref="K1000:K1038" ca="1" si="204">G1000*($E$18/24)+H1000*(1-$E$18/24)</f>
        <v>#REF!</v>
      </c>
      <c r="L1000" s="103" t="e">
        <f t="shared" ref="L1000:L1038" ca="1" si="205">G1000*($E$19/24)+H1000*(1-$E$19/24)</f>
        <v>#REF!</v>
      </c>
      <c r="M1000" s="103" t="e">
        <f t="shared" ref="M1000:M1038" ca="1" si="206">G1000*($E$20/24)+H1000*(1-$E$20/24)</f>
        <v>#REF!</v>
      </c>
      <c r="N1000" s="104" t="e">
        <f t="shared" ref="N1000:N1038" ca="1" si="207">B1000*$B$16+C1000*$B$17+D1000*$B$18+E1000*$B$19+F1000*$B$20-($C$16*$D$16*I1000+$C$17*$D$17*J1000+$C$18*$D$18*K1000+$C$19*$D$19*L1000+$C$20*$D$20*M1000)</f>
        <v>#REF!</v>
      </c>
    </row>
    <row r="1001" spans="1:14">
      <c r="A1001" s="95">
        <v>963</v>
      </c>
      <c r="B1001" s="102" t="e">
        <f t="shared" ca="1" si="195"/>
        <v>#REF!</v>
      </c>
      <c r="C1001" s="102" t="e">
        <f t="shared" ca="1" si="196"/>
        <v>#REF!</v>
      </c>
      <c r="D1001" s="102" t="e">
        <f t="shared" ca="1" si="197"/>
        <v>#REF!</v>
      </c>
      <c r="E1001" s="102" t="e">
        <f t="shared" ca="1" si="198"/>
        <v>#REF!</v>
      </c>
      <c r="F1001" s="102" t="e">
        <f t="shared" ca="1" si="199"/>
        <v>#REF!</v>
      </c>
      <c r="G1001" s="103">
        <f t="shared" ca="1" si="200"/>
        <v>0.43287804661503093</v>
      </c>
      <c r="H1001" s="103">
        <f t="shared" ca="1" si="201"/>
        <v>0.1904435972312728</v>
      </c>
      <c r="I1001" s="103" t="e">
        <f t="shared" ca="1" si="202"/>
        <v>#REF!</v>
      </c>
      <c r="J1001" s="103" t="e">
        <f t="shared" ca="1" si="203"/>
        <v>#REF!</v>
      </c>
      <c r="K1001" s="103" t="e">
        <f t="shared" ca="1" si="204"/>
        <v>#REF!</v>
      </c>
      <c r="L1001" s="103" t="e">
        <f t="shared" ca="1" si="205"/>
        <v>#REF!</v>
      </c>
      <c r="M1001" s="103" t="e">
        <f t="shared" ca="1" si="206"/>
        <v>#REF!</v>
      </c>
      <c r="N1001" s="104" t="e">
        <f t="shared" ca="1" si="207"/>
        <v>#REF!</v>
      </c>
    </row>
    <row r="1002" spans="1:14">
      <c r="A1002" s="96">
        <v>964</v>
      </c>
      <c r="B1002" s="102" t="e">
        <f t="shared" ca="1" si="195"/>
        <v>#REF!</v>
      </c>
      <c r="C1002" s="102" t="e">
        <f t="shared" ca="1" si="196"/>
        <v>#REF!</v>
      </c>
      <c r="D1002" s="102" t="e">
        <f t="shared" ca="1" si="197"/>
        <v>#REF!</v>
      </c>
      <c r="E1002" s="102" t="e">
        <f t="shared" ca="1" si="198"/>
        <v>#REF!</v>
      </c>
      <c r="F1002" s="102" t="e">
        <f t="shared" ca="1" si="199"/>
        <v>#REF!</v>
      </c>
      <c r="G1002" s="103">
        <f t="shared" ca="1" si="200"/>
        <v>0.41665477653950378</v>
      </c>
      <c r="H1002" s="103">
        <f t="shared" ca="1" si="201"/>
        <v>0.23254623825208917</v>
      </c>
      <c r="I1002" s="103" t="e">
        <f t="shared" ca="1" si="202"/>
        <v>#REF!</v>
      </c>
      <c r="J1002" s="103" t="e">
        <f t="shared" ca="1" si="203"/>
        <v>#REF!</v>
      </c>
      <c r="K1002" s="103" t="e">
        <f t="shared" ca="1" si="204"/>
        <v>#REF!</v>
      </c>
      <c r="L1002" s="103" t="e">
        <f t="shared" ca="1" si="205"/>
        <v>#REF!</v>
      </c>
      <c r="M1002" s="103" t="e">
        <f t="shared" ca="1" si="206"/>
        <v>#REF!</v>
      </c>
      <c r="N1002" s="104" t="e">
        <f t="shared" ca="1" si="207"/>
        <v>#REF!</v>
      </c>
    </row>
    <row r="1003" spans="1:14">
      <c r="A1003" s="95">
        <v>965</v>
      </c>
      <c r="B1003" s="102" t="e">
        <f t="shared" ca="1" si="195"/>
        <v>#REF!</v>
      </c>
      <c r="C1003" s="102" t="e">
        <f t="shared" ca="1" si="196"/>
        <v>#REF!</v>
      </c>
      <c r="D1003" s="102" t="e">
        <f t="shared" ca="1" si="197"/>
        <v>#REF!</v>
      </c>
      <c r="E1003" s="102" t="e">
        <f t="shared" ca="1" si="198"/>
        <v>#REF!</v>
      </c>
      <c r="F1003" s="102" t="e">
        <f t="shared" ca="1" si="199"/>
        <v>#REF!</v>
      </c>
      <c r="G1003" s="103">
        <f t="shared" ca="1" si="200"/>
        <v>0.44881850064498618</v>
      </c>
      <c r="H1003" s="103">
        <f t="shared" ca="1" si="201"/>
        <v>0.21086223727293094</v>
      </c>
      <c r="I1003" s="103" t="e">
        <f t="shared" ca="1" si="202"/>
        <v>#REF!</v>
      </c>
      <c r="J1003" s="103" t="e">
        <f t="shared" ca="1" si="203"/>
        <v>#REF!</v>
      </c>
      <c r="K1003" s="103" t="e">
        <f t="shared" ca="1" si="204"/>
        <v>#REF!</v>
      </c>
      <c r="L1003" s="103" t="e">
        <f t="shared" ca="1" si="205"/>
        <v>#REF!</v>
      </c>
      <c r="M1003" s="103" t="e">
        <f t="shared" ca="1" si="206"/>
        <v>#REF!</v>
      </c>
      <c r="N1003" s="104" t="e">
        <f t="shared" ca="1" si="207"/>
        <v>#REF!</v>
      </c>
    </row>
    <row r="1004" spans="1:14">
      <c r="A1004" s="96">
        <v>966</v>
      </c>
      <c r="B1004" s="102" t="e">
        <f t="shared" ca="1" si="195"/>
        <v>#REF!</v>
      </c>
      <c r="C1004" s="102" t="e">
        <f t="shared" ca="1" si="196"/>
        <v>#REF!</v>
      </c>
      <c r="D1004" s="102" t="e">
        <f t="shared" ca="1" si="197"/>
        <v>#REF!</v>
      </c>
      <c r="E1004" s="102" t="e">
        <f t="shared" ca="1" si="198"/>
        <v>#REF!</v>
      </c>
      <c r="F1004" s="102" t="e">
        <f t="shared" ca="1" si="199"/>
        <v>#REF!</v>
      </c>
      <c r="G1004" s="103">
        <f t="shared" ca="1" si="200"/>
        <v>0.44037870374126659</v>
      </c>
      <c r="H1004" s="103">
        <f t="shared" ca="1" si="201"/>
        <v>0.22371231819012422</v>
      </c>
      <c r="I1004" s="103" t="e">
        <f t="shared" ca="1" si="202"/>
        <v>#REF!</v>
      </c>
      <c r="J1004" s="103" t="e">
        <f t="shared" ca="1" si="203"/>
        <v>#REF!</v>
      </c>
      <c r="K1004" s="103" t="e">
        <f t="shared" ca="1" si="204"/>
        <v>#REF!</v>
      </c>
      <c r="L1004" s="103" t="e">
        <f t="shared" ca="1" si="205"/>
        <v>#REF!</v>
      </c>
      <c r="M1004" s="103" t="e">
        <f t="shared" ca="1" si="206"/>
        <v>#REF!</v>
      </c>
      <c r="N1004" s="104" t="e">
        <f t="shared" ca="1" si="207"/>
        <v>#REF!</v>
      </c>
    </row>
    <row r="1005" spans="1:14">
      <c r="A1005" s="95">
        <v>967</v>
      </c>
      <c r="B1005" s="102" t="e">
        <f t="shared" ca="1" si="195"/>
        <v>#REF!</v>
      </c>
      <c r="C1005" s="102" t="e">
        <f t="shared" ca="1" si="196"/>
        <v>#REF!</v>
      </c>
      <c r="D1005" s="102" t="e">
        <f t="shared" ca="1" si="197"/>
        <v>#REF!</v>
      </c>
      <c r="E1005" s="102" t="e">
        <f t="shared" ca="1" si="198"/>
        <v>#REF!</v>
      </c>
      <c r="F1005" s="102" t="e">
        <f t="shared" ca="1" si="199"/>
        <v>#REF!</v>
      </c>
      <c r="G1005" s="103">
        <f t="shared" ca="1" si="200"/>
        <v>0.40730194534147435</v>
      </c>
      <c r="H1005" s="103">
        <f t="shared" ca="1" si="201"/>
        <v>0.19346569393593388</v>
      </c>
      <c r="I1005" s="103" t="e">
        <f t="shared" ca="1" si="202"/>
        <v>#REF!</v>
      </c>
      <c r="J1005" s="103" t="e">
        <f t="shared" ca="1" si="203"/>
        <v>#REF!</v>
      </c>
      <c r="K1005" s="103" t="e">
        <f t="shared" ca="1" si="204"/>
        <v>#REF!</v>
      </c>
      <c r="L1005" s="103" t="e">
        <f t="shared" ca="1" si="205"/>
        <v>#REF!</v>
      </c>
      <c r="M1005" s="103" t="e">
        <f t="shared" ca="1" si="206"/>
        <v>#REF!</v>
      </c>
      <c r="N1005" s="104" t="e">
        <f t="shared" ca="1" si="207"/>
        <v>#REF!</v>
      </c>
    </row>
    <row r="1006" spans="1:14">
      <c r="A1006" s="96">
        <v>968</v>
      </c>
      <c r="B1006" s="102" t="e">
        <f t="shared" ca="1" si="195"/>
        <v>#REF!</v>
      </c>
      <c r="C1006" s="102" t="e">
        <f t="shared" ca="1" si="196"/>
        <v>#REF!</v>
      </c>
      <c r="D1006" s="102" t="e">
        <f t="shared" ca="1" si="197"/>
        <v>#REF!</v>
      </c>
      <c r="E1006" s="102" t="e">
        <f t="shared" ca="1" si="198"/>
        <v>#REF!</v>
      </c>
      <c r="F1006" s="102" t="e">
        <f t="shared" ca="1" si="199"/>
        <v>#REF!</v>
      </c>
      <c r="G1006" s="103">
        <f t="shared" ca="1" si="200"/>
        <v>0.42588683022753382</v>
      </c>
      <c r="H1006" s="103">
        <f t="shared" ca="1" si="201"/>
        <v>0.20325578849330878</v>
      </c>
      <c r="I1006" s="103" t="e">
        <f t="shared" ca="1" si="202"/>
        <v>#REF!</v>
      </c>
      <c r="J1006" s="103" t="e">
        <f t="shared" ca="1" si="203"/>
        <v>#REF!</v>
      </c>
      <c r="K1006" s="103" t="e">
        <f t="shared" ca="1" si="204"/>
        <v>#REF!</v>
      </c>
      <c r="L1006" s="103" t="e">
        <f t="shared" ca="1" si="205"/>
        <v>#REF!</v>
      </c>
      <c r="M1006" s="103" t="e">
        <f t="shared" ca="1" si="206"/>
        <v>#REF!</v>
      </c>
      <c r="N1006" s="104" t="e">
        <f t="shared" ca="1" si="207"/>
        <v>#REF!</v>
      </c>
    </row>
    <row r="1007" spans="1:14">
      <c r="A1007" s="95">
        <v>969</v>
      </c>
      <c r="B1007" s="102" t="e">
        <f t="shared" ca="1" si="195"/>
        <v>#REF!</v>
      </c>
      <c r="C1007" s="102" t="e">
        <f t="shared" ca="1" si="196"/>
        <v>#REF!</v>
      </c>
      <c r="D1007" s="102" t="e">
        <f t="shared" ca="1" si="197"/>
        <v>#REF!</v>
      </c>
      <c r="E1007" s="102" t="e">
        <f t="shared" ca="1" si="198"/>
        <v>#REF!</v>
      </c>
      <c r="F1007" s="102" t="e">
        <f t="shared" ca="1" si="199"/>
        <v>#REF!</v>
      </c>
      <c r="G1007" s="103">
        <f t="shared" ca="1" si="200"/>
        <v>0.44100557922969158</v>
      </c>
      <c r="H1007" s="103">
        <f t="shared" ca="1" si="201"/>
        <v>0.23199165247735118</v>
      </c>
      <c r="I1007" s="103" t="e">
        <f t="shared" ca="1" si="202"/>
        <v>#REF!</v>
      </c>
      <c r="J1007" s="103" t="e">
        <f t="shared" ca="1" si="203"/>
        <v>#REF!</v>
      </c>
      <c r="K1007" s="103" t="e">
        <f t="shared" ca="1" si="204"/>
        <v>#REF!</v>
      </c>
      <c r="L1007" s="103" t="e">
        <f t="shared" ca="1" si="205"/>
        <v>#REF!</v>
      </c>
      <c r="M1007" s="103" t="e">
        <f t="shared" ca="1" si="206"/>
        <v>#REF!</v>
      </c>
      <c r="N1007" s="104" t="e">
        <f t="shared" ca="1" si="207"/>
        <v>#REF!</v>
      </c>
    </row>
    <row r="1008" spans="1:14">
      <c r="A1008" s="96">
        <v>970</v>
      </c>
      <c r="B1008" s="102" t="e">
        <f t="shared" ca="1" si="195"/>
        <v>#REF!</v>
      </c>
      <c r="C1008" s="102" t="e">
        <f t="shared" ca="1" si="196"/>
        <v>#REF!</v>
      </c>
      <c r="D1008" s="102" t="e">
        <f t="shared" ca="1" si="197"/>
        <v>#REF!</v>
      </c>
      <c r="E1008" s="102" t="e">
        <f t="shared" ca="1" si="198"/>
        <v>#REF!</v>
      </c>
      <c r="F1008" s="102" t="e">
        <f t="shared" ca="1" si="199"/>
        <v>#REF!</v>
      </c>
      <c r="G1008" s="103">
        <f t="shared" ca="1" si="200"/>
        <v>0.47789132713884991</v>
      </c>
      <c r="H1008" s="103">
        <f t="shared" ca="1" si="201"/>
        <v>0.20215602281563114</v>
      </c>
      <c r="I1008" s="103" t="e">
        <f t="shared" ca="1" si="202"/>
        <v>#REF!</v>
      </c>
      <c r="J1008" s="103" t="e">
        <f t="shared" ca="1" si="203"/>
        <v>#REF!</v>
      </c>
      <c r="K1008" s="103" t="e">
        <f t="shared" ca="1" si="204"/>
        <v>#REF!</v>
      </c>
      <c r="L1008" s="103" t="e">
        <f t="shared" ca="1" si="205"/>
        <v>#REF!</v>
      </c>
      <c r="M1008" s="103" t="e">
        <f t="shared" ca="1" si="206"/>
        <v>#REF!</v>
      </c>
      <c r="N1008" s="104" t="e">
        <f t="shared" ca="1" si="207"/>
        <v>#REF!</v>
      </c>
    </row>
    <row r="1009" spans="1:14">
      <c r="A1009" s="95">
        <v>971</v>
      </c>
      <c r="B1009" s="102" t="e">
        <f t="shared" ca="1" si="195"/>
        <v>#REF!</v>
      </c>
      <c r="C1009" s="102" t="e">
        <f t="shared" ca="1" si="196"/>
        <v>#REF!</v>
      </c>
      <c r="D1009" s="102" t="e">
        <f t="shared" ca="1" si="197"/>
        <v>#REF!</v>
      </c>
      <c r="E1009" s="102" t="e">
        <f t="shared" ca="1" si="198"/>
        <v>#REF!</v>
      </c>
      <c r="F1009" s="102" t="e">
        <f t="shared" ca="1" si="199"/>
        <v>#REF!</v>
      </c>
      <c r="G1009" s="103">
        <f t="shared" ca="1" si="200"/>
        <v>0.44476653573542013</v>
      </c>
      <c r="H1009" s="103">
        <f t="shared" ca="1" si="201"/>
        <v>0.20153282260426963</v>
      </c>
      <c r="I1009" s="103" t="e">
        <f t="shared" ca="1" si="202"/>
        <v>#REF!</v>
      </c>
      <c r="J1009" s="103" t="e">
        <f t="shared" ca="1" si="203"/>
        <v>#REF!</v>
      </c>
      <c r="K1009" s="103" t="e">
        <f t="shared" ca="1" si="204"/>
        <v>#REF!</v>
      </c>
      <c r="L1009" s="103" t="e">
        <f t="shared" ca="1" si="205"/>
        <v>#REF!</v>
      </c>
      <c r="M1009" s="103" t="e">
        <f t="shared" ca="1" si="206"/>
        <v>#REF!</v>
      </c>
      <c r="N1009" s="104" t="e">
        <f t="shared" ca="1" si="207"/>
        <v>#REF!</v>
      </c>
    </row>
    <row r="1010" spans="1:14">
      <c r="A1010" s="96">
        <v>972</v>
      </c>
      <c r="B1010" s="102" t="e">
        <f t="shared" ca="1" si="195"/>
        <v>#REF!</v>
      </c>
      <c r="C1010" s="102" t="e">
        <f t="shared" ca="1" si="196"/>
        <v>#REF!</v>
      </c>
      <c r="D1010" s="102" t="e">
        <f t="shared" ca="1" si="197"/>
        <v>#REF!</v>
      </c>
      <c r="E1010" s="102" t="e">
        <f t="shared" ca="1" si="198"/>
        <v>#REF!</v>
      </c>
      <c r="F1010" s="102" t="e">
        <f t="shared" ca="1" si="199"/>
        <v>#REF!</v>
      </c>
      <c r="G1010" s="103">
        <f t="shared" ca="1" si="200"/>
        <v>0.40815426142427186</v>
      </c>
      <c r="H1010" s="103">
        <f t="shared" ca="1" si="201"/>
        <v>0.20174583182414865</v>
      </c>
      <c r="I1010" s="103" t="e">
        <f t="shared" ca="1" si="202"/>
        <v>#REF!</v>
      </c>
      <c r="J1010" s="103" t="e">
        <f t="shared" ca="1" si="203"/>
        <v>#REF!</v>
      </c>
      <c r="K1010" s="103" t="e">
        <f t="shared" ca="1" si="204"/>
        <v>#REF!</v>
      </c>
      <c r="L1010" s="103" t="e">
        <f t="shared" ca="1" si="205"/>
        <v>#REF!</v>
      </c>
      <c r="M1010" s="103" t="e">
        <f t="shared" ca="1" si="206"/>
        <v>#REF!</v>
      </c>
      <c r="N1010" s="104" t="e">
        <f t="shared" ca="1" si="207"/>
        <v>#REF!</v>
      </c>
    </row>
    <row r="1011" spans="1:14">
      <c r="A1011" s="95">
        <v>973</v>
      </c>
      <c r="B1011" s="102" t="e">
        <f t="shared" ca="1" si="195"/>
        <v>#REF!</v>
      </c>
      <c r="C1011" s="102" t="e">
        <f t="shared" ca="1" si="196"/>
        <v>#REF!</v>
      </c>
      <c r="D1011" s="102" t="e">
        <f t="shared" ca="1" si="197"/>
        <v>#REF!</v>
      </c>
      <c r="E1011" s="102" t="e">
        <f t="shared" ca="1" si="198"/>
        <v>#REF!</v>
      </c>
      <c r="F1011" s="102" t="e">
        <f t="shared" ca="1" si="199"/>
        <v>#REF!</v>
      </c>
      <c r="G1011" s="103">
        <f t="shared" ca="1" si="200"/>
        <v>0.43674923562213841</v>
      </c>
      <c r="H1011" s="103">
        <f t="shared" ca="1" si="201"/>
        <v>0.1817130157275855</v>
      </c>
      <c r="I1011" s="103" t="e">
        <f t="shared" ca="1" si="202"/>
        <v>#REF!</v>
      </c>
      <c r="J1011" s="103" t="e">
        <f t="shared" ca="1" si="203"/>
        <v>#REF!</v>
      </c>
      <c r="K1011" s="103" t="e">
        <f t="shared" ca="1" si="204"/>
        <v>#REF!</v>
      </c>
      <c r="L1011" s="103" t="e">
        <f t="shared" ca="1" si="205"/>
        <v>#REF!</v>
      </c>
      <c r="M1011" s="103" t="e">
        <f t="shared" ca="1" si="206"/>
        <v>#REF!</v>
      </c>
      <c r="N1011" s="104" t="e">
        <f t="shared" ca="1" si="207"/>
        <v>#REF!</v>
      </c>
    </row>
    <row r="1012" spans="1:14">
      <c r="A1012" s="96">
        <v>974</v>
      </c>
      <c r="B1012" s="102" t="e">
        <f t="shared" ca="1" si="195"/>
        <v>#REF!</v>
      </c>
      <c r="C1012" s="102" t="e">
        <f t="shared" ca="1" si="196"/>
        <v>#REF!</v>
      </c>
      <c r="D1012" s="102" t="e">
        <f t="shared" ca="1" si="197"/>
        <v>#REF!</v>
      </c>
      <c r="E1012" s="102" t="e">
        <f t="shared" ca="1" si="198"/>
        <v>#REF!</v>
      </c>
      <c r="F1012" s="102" t="e">
        <f t="shared" ca="1" si="199"/>
        <v>#REF!</v>
      </c>
      <c r="G1012" s="103">
        <f t="shared" ca="1" si="200"/>
        <v>0.43729854627147485</v>
      </c>
      <c r="H1012" s="103">
        <f t="shared" ca="1" si="201"/>
        <v>0.19074990339945808</v>
      </c>
      <c r="I1012" s="103" t="e">
        <f t="shared" ca="1" si="202"/>
        <v>#REF!</v>
      </c>
      <c r="J1012" s="103" t="e">
        <f t="shared" ca="1" si="203"/>
        <v>#REF!</v>
      </c>
      <c r="K1012" s="103" t="e">
        <f t="shared" ca="1" si="204"/>
        <v>#REF!</v>
      </c>
      <c r="L1012" s="103" t="e">
        <f t="shared" ca="1" si="205"/>
        <v>#REF!</v>
      </c>
      <c r="M1012" s="103" t="e">
        <f t="shared" ca="1" si="206"/>
        <v>#REF!</v>
      </c>
      <c r="N1012" s="104" t="e">
        <f t="shared" ca="1" si="207"/>
        <v>#REF!</v>
      </c>
    </row>
    <row r="1013" spans="1:14">
      <c r="A1013" s="95">
        <v>975</v>
      </c>
      <c r="B1013" s="102" t="e">
        <f t="shared" ca="1" si="195"/>
        <v>#REF!</v>
      </c>
      <c r="C1013" s="102" t="e">
        <f t="shared" ca="1" si="196"/>
        <v>#REF!</v>
      </c>
      <c r="D1013" s="102" t="e">
        <f t="shared" ca="1" si="197"/>
        <v>#REF!</v>
      </c>
      <c r="E1013" s="102" t="e">
        <f t="shared" ca="1" si="198"/>
        <v>#REF!</v>
      </c>
      <c r="F1013" s="102" t="e">
        <f t="shared" ca="1" si="199"/>
        <v>#REF!</v>
      </c>
      <c r="G1013" s="103">
        <f t="shared" ca="1" si="200"/>
        <v>0.44462214876059558</v>
      </c>
      <c r="H1013" s="103">
        <f t="shared" ca="1" si="201"/>
        <v>0.19631336225641655</v>
      </c>
      <c r="I1013" s="103" t="e">
        <f t="shared" ca="1" si="202"/>
        <v>#REF!</v>
      </c>
      <c r="J1013" s="103" t="e">
        <f t="shared" ca="1" si="203"/>
        <v>#REF!</v>
      </c>
      <c r="K1013" s="103" t="e">
        <f t="shared" ca="1" si="204"/>
        <v>#REF!</v>
      </c>
      <c r="L1013" s="103" t="e">
        <f t="shared" ca="1" si="205"/>
        <v>#REF!</v>
      </c>
      <c r="M1013" s="103" t="e">
        <f t="shared" ca="1" si="206"/>
        <v>#REF!</v>
      </c>
      <c r="N1013" s="104" t="e">
        <f t="shared" ca="1" si="207"/>
        <v>#REF!</v>
      </c>
    </row>
    <row r="1014" spans="1:14">
      <c r="A1014" s="96">
        <v>976</v>
      </c>
      <c r="B1014" s="102" t="e">
        <f t="shared" ca="1" si="195"/>
        <v>#REF!</v>
      </c>
      <c r="C1014" s="102" t="e">
        <f t="shared" ca="1" si="196"/>
        <v>#REF!</v>
      </c>
      <c r="D1014" s="102" t="e">
        <f t="shared" ca="1" si="197"/>
        <v>#REF!</v>
      </c>
      <c r="E1014" s="102" t="e">
        <f t="shared" ca="1" si="198"/>
        <v>#REF!</v>
      </c>
      <c r="F1014" s="102" t="e">
        <f t="shared" ca="1" si="199"/>
        <v>#REF!</v>
      </c>
      <c r="G1014" s="103">
        <f t="shared" ca="1" si="200"/>
        <v>0.45400422468502871</v>
      </c>
      <c r="H1014" s="103">
        <f t="shared" ca="1" si="201"/>
        <v>0.19175004132877979</v>
      </c>
      <c r="I1014" s="103" t="e">
        <f t="shared" ca="1" si="202"/>
        <v>#REF!</v>
      </c>
      <c r="J1014" s="103" t="e">
        <f t="shared" ca="1" si="203"/>
        <v>#REF!</v>
      </c>
      <c r="K1014" s="103" t="e">
        <f t="shared" ca="1" si="204"/>
        <v>#REF!</v>
      </c>
      <c r="L1014" s="103" t="e">
        <f t="shared" ca="1" si="205"/>
        <v>#REF!</v>
      </c>
      <c r="M1014" s="103" t="e">
        <f t="shared" ca="1" si="206"/>
        <v>#REF!</v>
      </c>
      <c r="N1014" s="104" t="e">
        <f t="shared" ca="1" si="207"/>
        <v>#REF!</v>
      </c>
    </row>
    <row r="1015" spans="1:14">
      <c r="A1015" s="95">
        <v>977</v>
      </c>
      <c r="B1015" s="102" t="e">
        <f t="shared" ca="1" si="195"/>
        <v>#REF!</v>
      </c>
      <c r="C1015" s="102" t="e">
        <f t="shared" ca="1" si="196"/>
        <v>#REF!</v>
      </c>
      <c r="D1015" s="102" t="e">
        <f t="shared" ca="1" si="197"/>
        <v>#REF!</v>
      </c>
      <c r="E1015" s="102" t="e">
        <f t="shared" ca="1" si="198"/>
        <v>#REF!</v>
      </c>
      <c r="F1015" s="102" t="e">
        <f t="shared" ca="1" si="199"/>
        <v>#REF!</v>
      </c>
      <c r="G1015" s="103">
        <f t="shared" ca="1" si="200"/>
        <v>0.43907379602006241</v>
      </c>
      <c r="H1015" s="103">
        <f t="shared" ca="1" si="201"/>
        <v>0.20896056105263885</v>
      </c>
      <c r="I1015" s="103" t="e">
        <f t="shared" ca="1" si="202"/>
        <v>#REF!</v>
      </c>
      <c r="J1015" s="103" t="e">
        <f t="shared" ca="1" si="203"/>
        <v>#REF!</v>
      </c>
      <c r="K1015" s="103" t="e">
        <f t="shared" ca="1" si="204"/>
        <v>#REF!</v>
      </c>
      <c r="L1015" s="103" t="e">
        <f t="shared" ca="1" si="205"/>
        <v>#REF!</v>
      </c>
      <c r="M1015" s="103" t="e">
        <f t="shared" ca="1" si="206"/>
        <v>#REF!</v>
      </c>
      <c r="N1015" s="104" t="e">
        <f t="shared" ca="1" si="207"/>
        <v>#REF!</v>
      </c>
    </row>
    <row r="1016" spans="1:14">
      <c r="A1016" s="96">
        <v>978</v>
      </c>
      <c r="B1016" s="102" t="e">
        <f t="shared" ca="1" si="195"/>
        <v>#REF!</v>
      </c>
      <c r="C1016" s="102" t="e">
        <f t="shared" ca="1" si="196"/>
        <v>#REF!</v>
      </c>
      <c r="D1016" s="102" t="e">
        <f t="shared" ca="1" si="197"/>
        <v>#REF!</v>
      </c>
      <c r="E1016" s="102" t="e">
        <f t="shared" ca="1" si="198"/>
        <v>#REF!</v>
      </c>
      <c r="F1016" s="102" t="e">
        <f t="shared" ca="1" si="199"/>
        <v>#REF!</v>
      </c>
      <c r="G1016" s="103">
        <f t="shared" ca="1" si="200"/>
        <v>0.49831025834755194</v>
      </c>
      <c r="H1016" s="103">
        <f t="shared" ca="1" si="201"/>
        <v>0.2246084757644394</v>
      </c>
      <c r="I1016" s="103" t="e">
        <f t="shared" ca="1" si="202"/>
        <v>#REF!</v>
      </c>
      <c r="J1016" s="103" t="e">
        <f t="shared" ca="1" si="203"/>
        <v>#REF!</v>
      </c>
      <c r="K1016" s="103" t="e">
        <f t="shared" ca="1" si="204"/>
        <v>#REF!</v>
      </c>
      <c r="L1016" s="103" t="e">
        <f t="shared" ca="1" si="205"/>
        <v>#REF!</v>
      </c>
      <c r="M1016" s="103" t="e">
        <f t="shared" ca="1" si="206"/>
        <v>#REF!</v>
      </c>
      <c r="N1016" s="104" t="e">
        <f t="shared" ca="1" si="207"/>
        <v>#REF!</v>
      </c>
    </row>
    <row r="1017" spans="1:14">
      <c r="A1017" s="95">
        <v>979</v>
      </c>
      <c r="B1017" s="102" t="e">
        <f t="shared" ca="1" si="195"/>
        <v>#REF!</v>
      </c>
      <c r="C1017" s="102" t="e">
        <f t="shared" ca="1" si="196"/>
        <v>#REF!</v>
      </c>
      <c r="D1017" s="102" t="e">
        <f t="shared" ca="1" si="197"/>
        <v>#REF!</v>
      </c>
      <c r="E1017" s="102" t="e">
        <f t="shared" ca="1" si="198"/>
        <v>#REF!</v>
      </c>
      <c r="F1017" s="102" t="e">
        <f t="shared" ca="1" si="199"/>
        <v>#REF!</v>
      </c>
      <c r="G1017" s="103">
        <f t="shared" ca="1" si="200"/>
        <v>0.38878188051729556</v>
      </c>
      <c r="H1017" s="103">
        <f t="shared" ca="1" si="201"/>
        <v>0.20779946147006875</v>
      </c>
      <c r="I1017" s="103" t="e">
        <f t="shared" ca="1" si="202"/>
        <v>#REF!</v>
      </c>
      <c r="J1017" s="103" t="e">
        <f t="shared" ca="1" si="203"/>
        <v>#REF!</v>
      </c>
      <c r="K1017" s="103" t="e">
        <f t="shared" ca="1" si="204"/>
        <v>#REF!</v>
      </c>
      <c r="L1017" s="103" t="e">
        <f t="shared" ca="1" si="205"/>
        <v>#REF!</v>
      </c>
      <c r="M1017" s="103" t="e">
        <f t="shared" ca="1" si="206"/>
        <v>#REF!</v>
      </c>
      <c r="N1017" s="104" t="e">
        <f t="shared" ca="1" si="207"/>
        <v>#REF!</v>
      </c>
    </row>
    <row r="1018" spans="1:14">
      <c r="A1018" s="96">
        <v>980</v>
      </c>
      <c r="B1018" s="102" t="e">
        <f t="shared" ca="1" si="195"/>
        <v>#REF!</v>
      </c>
      <c r="C1018" s="102" t="e">
        <f t="shared" ca="1" si="196"/>
        <v>#REF!</v>
      </c>
      <c r="D1018" s="102" t="e">
        <f t="shared" ca="1" si="197"/>
        <v>#REF!</v>
      </c>
      <c r="E1018" s="102" t="e">
        <f t="shared" ca="1" si="198"/>
        <v>#REF!</v>
      </c>
      <c r="F1018" s="102" t="e">
        <f t="shared" ca="1" si="199"/>
        <v>#REF!</v>
      </c>
      <c r="G1018" s="103">
        <f t="shared" ca="1" si="200"/>
        <v>0.43061831709934922</v>
      </c>
      <c r="H1018" s="103">
        <f t="shared" ca="1" si="201"/>
        <v>0.20334667377475188</v>
      </c>
      <c r="I1018" s="103" t="e">
        <f t="shared" ca="1" si="202"/>
        <v>#REF!</v>
      </c>
      <c r="J1018" s="103" t="e">
        <f t="shared" ca="1" si="203"/>
        <v>#REF!</v>
      </c>
      <c r="K1018" s="103" t="e">
        <f t="shared" ca="1" si="204"/>
        <v>#REF!</v>
      </c>
      <c r="L1018" s="103" t="e">
        <f t="shared" ca="1" si="205"/>
        <v>#REF!</v>
      </c>
      <c r="M1018" s="103" t="e">
        <f t="shared" ca="1" si="206"/>
        <v>#REF!</v>
      </c>
      <c r="N1018" s="104" t="e">
        <f t="shared" ca="1" si="207"/>
        <v>#REF!</v>
      </c>
    </row>
    <row r="1019" spans="1:14">
      <c r="A1019" s="95">
        <v>981</v>
      </c>
      <c r="B1019" s="102" t="e">
        <f t="shared" ca="1" si="195"/>
        <v>#REF!</v>
      </c>
      <c r="C1019" s="102" t="e">
        <f t="shared" ca="1" si="196"/>
        <v>#REF!</v>
      </c>
      <c r="D1019" s="102" t="e">
        <f t="shared" ca="1" si="197"/>
        <v>#REF!</v>
      </c>
      <c r="E1019" s="102" t="e">
        <f t="shared" ca="1" si="198"/>
        <v>#REF!</v>
      </c>
      <c r="F1019" s="102" t="e">
        <f t="shared" ca="1" si="199"/>
        <v>#REF!</v>
      </c>
      <c r="G1019" s="103">
        <f t="shared" ca="1" si="200"/>
        <v>0.44879574697196573</v>
      </c>
      <c r="H1019" s="103">
        <f t="shared" ca="1" si="201"/>
        <v>0.19897629910234507</v>
      </c>
      <c r="I1019" s="103" t="e">
        <f t="shared" ca="1" si="202"/>
        <v>#REF!</v>
      </c>
      <c r="J1019" s="103" t="e">
        <f t="shared" ca="1" si="203"/>
        <v>#REF!</v>
      </c>
      <c r="K1019" s="103" t="e">
        <f t="shared" ca="1" si="204"/>
        <v>#REF!</v>
      </c>
      <c r="L1019" s="103" t="e">
        <f t="shared" ca="1" si="205"/>
        <v>#REF!</v>
      </c>
      <c r="M1019" s="103" t="e">
        <f t="shared" ca="1" si="206"/>
        <v>#REF!</v>
      </c>
      <c r="N1019" s="104" t="e">
        <f t="shared" ca="1" si="207"/>
        <v>#REF!</v>
      </c>
    </row>
    <row r="1020" spans="1:14">
      <c r="A1020" s="96">
        <v>982</v>
      </c>
      <c r="B1020" s="102" t="e">
        <f t="shared" ca="1" si="195"/>
        <v>#REF!</v>
      </c>
      <c r="C1020" s="102" t="e">
        <f t="shared" ca="1" si="196"/>
        <v>#REF!</v>
      </c>
      <c r="D1020" s="102" t="e">
        <f t="shared" ca="1" si="197"/>
        <v>#REF!</v>
      </c>
      <c r="E1020" s="102" t="e">
        <f t="shared" ca="1" si="198"/>
        <v>#REF!</v>
      </c>
      <c r="F1020" s="102" t="e">
        <f t="shared" ca="1" si="199"/>
        <v>#REF!</v>
      </c>
      <c r="G1020" s="103">
        <f t="shared" ca="1" si="200"/>
        <v>0.41115588510577061</v>
      </c>
      <c r="H1020" s="103">
        <f t="shared" ca="1" si="201"/>
        <v>0.20307032105770434</v>
      </c>
      <c r="I1020" s="103" t="e">
        <f t="shared" ca="1" si="202"/>
        <v>#REF!</v>
      </c>
      <c r="J1020" s="103" t="e">
        <f t="shared" ca="1" si="203"/>
        <v>#REF!</v>
      </c>
      <c r="K1020" s="103" t="e">
        <f t="shared" ca="1" si="204"/>
        <v>#REF!</v>
      </c>
      <c r="L1020" s="103" t="e">
        <f t="shared" ca="1" si="205"/>
        <v>#REF!</v>
      </c>
      <c r="M1020" s="103" t="e">
        <f t="shared" ca="1" si="206"/>
        <v>#REF!</v>
      </c>
      <c r="N1020" s="104" t="e">
        <f t="shared" ca="1" si="207"/>
        <v>#REF!</v>
      </c>
    </row>
    <row r="1021" spans="1:14">
      <c r="A1021" s="95">
        <v>983</v>
      </c>
      <c r="B1021" s="102" t="e">
        <f t="shared" ca="1" si="195"/>
        <v>#REF!</v>
      </c>
      <c r="C1021" s="102" t="e">
        <f t="shared" ca="1" si="196"/>
        <v>#REF!</v>
      </c>
      <c r="D1021" s="102" t="e">
        <f t="shared" ca="1" si="197"/>
        <v>#REF!</v>
      </c>
      <c r="E1021" s="102" t="e">
        <f t="shared" ca="1" si="198"/>
        <v>#REF!</v>
      </c>
      <c r="F1021" s="102" t="e">
        <f t="shared" ca="1" si="199"/>
        <v>#REF!</v>
      </c>
      <c r="G1021" s="103">
        <f t="shared" ca="1" si="200"/>
        <v>0.39329997181487336</v>
      </c>
      <c r="H1021" s="103">
        <f t="shared" ca="1" si="201"/>
        <v>0.20416066929314364</v>
      </c>
      <c r="I1021" s="103" t="e">
        <f t="shared" ca="1" si="202"/>
        <v>#REF!</v>
      </c>
      <c r="J1021" s="103" t="e">
        <f t="shared" ca="1" si="203"/>
        <v>#REF!</v>
      </c>
      <c r="K1021" s="103" t="e">
        <f t="shared" ca="1" si="204"/>
        <v>#REF!</v>
      </c>
      <c r="L1021" s="103" t="e">
        <f t="shared" ca="1" si="205"/>
        <v>#REF!</v>
      </c>
      <c r="M1021" s="103" t="e">
        <f t="shared" ca="1" si="206"/>
        <v>#REF!</v>
      </c>
      <c r="N1021" s="104" t="e">
        <f t="shared" ca="1" si="207"/>
        <v>#REF!</v>
      </c>
    </row>
    <row r="1022" spans="1:14">
      <c r="A1022" s="96">
        <v>984</v>
      </c>
      <c r="B1022" s="102" t="e">
        <f t="shared" ca="1" si="195"/>
        <v>#REF!</v>
      </c>
      <c r="C1022" s="102" t="e">
        <f t="shared" ca="1" si="196"/>
        <v>#REF!</v>
      </c>
      <c r="D1022" s="102" t="e">
        <f t="shared" ca="1" si="197"/>
        <v>#REF!</v>
      </c>
      <c r="E1022" s="102" t="e">
        <f t="shared" ca="1" si="198"/>
        <v>#REF!</v>
      </c>
      <c r="F1022" s="102" t="e">
        <f t="shared" ca="1" si="199"/>
        <v>#REF!</v>
      </c>
      <c r="G1022" s="103">
        <f t="shared" ca="1" si="200"/>
        <v>0.40354459337395421</v>
      </c>
      <c r="H1022" s="103">
        <f t="shared" ca="1" si="201"/>
        <v>0.21709711571348236</v>
      </c>
      <c r="I1022" s="103" t="e">
        <f t="shared" ca="1" si="202"/>
        <v>#REF!</v>
      </c>
      <c r="J1022" s="103" t="e">
        <f t="shared" ca="1" si="203"/>
        <v>#REF!</v>
      </c>
      <c r="K1022" s="103" t="e">
        <f t="shared" ca="1" si="204"/>
        <v>#REF!</v>
      </c>
      <c r="L1022" s="103" t="e">
        <f t="shared" ca="1" si="205"/>
        <v>#REF!</v>
      </c>
      <c r="M1022" s="103" t="e">
        <f t="shared" ca="1" si="206"/>
        <v>#REF!</v>
      </c>
      <c r="N1022" s="104" t="e">
        <f t="shared" ca="1" si="207"/>
        <v>#REF!</v>
      </c>
    </row>
    <row r="1023" spans="1:14">
      <c r="A1023" s="95">
        <v>985</v>
      </c>
      <c r="B1023" s="102" t="e">
        <f t="shared" ca="1" si="195"/>
        <v>#REF!</v>
      </c>
      <c r="C1023" s="102" t="e">
        <f t="shared" ca="1" si="196"/>
        <v>#REF!</v>
      </c>
      <c r="D1023" s="102" t="e">
        <f t="shared" ca="1" si="197"/>
        <v>#REF!</v>
      </c>
      <c r="E1023" s="102" t="e">
        <f t="shared" ca="1" si="198"/>
        <v>#REF!</v>
      </c>
      <c r="F1023" s="102" t="e">
        <f t="shared" ca="1" si="199"/>
        <v>#REF!</v>
      </c>
      <c r="G1023" s="103">
        <f t="shared" ca="1" si="200"/>
        <v>0.39075885843750302</v>
      </c>
      <c r="H1023" s="103">
        <f t="shared" ca="1" si="201"/>
        <v>0.19616812936972841</v>
      </c>
      <c r="I1023" s="103" t="e">
        <f t="shared" ca="1" si="202"/>
        <v>#REF!</v>
      </c>
      <c r="J1023" s="103" t="e">
        <f t="shared" ca="1" si="203"/>
        <v>#REF!</v>
      </c>
      <c r="K1023" s="103" t="e">
        <f t="shared" ca="1" si="204"/>
        <v>#REF!</v>
      </c>
      <c r="L1023" s="103" t="e">
        <f t="shared" ca="1" si="205"/>
        <v>#REF!</v>
      </c>
      <c r="M1023" s="103" t="e">
        <f t="shared" ca="1" si="206"/>
        <v>#REF!</v>
      </c>
      <c r="N1023" s="104" t="e">
        <f t="shared" ca="1" si="207"/>
        <v>#REF!</v>
      </c>
    </row>
    <row r="1024" spans="1:14">
      <c r="A1024" s="96">
        <v>986</v>
      </c>
      <c r="B1024" s="102" t="e">
        <f t="shared" ca="1" si="195"/>
        <v>#REF!</v>
      </c>
      <c r="C1024" s="102" t="e">
        <f t="shared" ca="1" si="196"/>
        <v>#REF!</v>
      </c>
      <c r="D1024" s="102" t="e">
        <f t="shared" ca="1" si="197"/>
        <v>#REF!</v>
      </c>
      <c r="E1024" s="102" t="e">
        <f t="shared" ca="1" si="198"/>
        <v>#REF!</v>
      </c>
      <c r="F1024" s="102" t="e">
        <f t="shared" ca="1" si="199"/>
        <v>#REF!</v>
      </c>
      <c r="G1024" s="103">
        <f t="shared" ca="1" si="200"/>
        <v>0.41295953269674496</v>
      </c>
      <c r="H1024" s="103">
        <f t="shared" ca="1" si="201"/>
        <v>0.18562818266589648</v>
      </c>
      <c r="I1024" s="103" t="e">
        <f t="shared" ca="1" si="202"/>
        <v>#REF!</v>
      </c>
      <c r="J1024" s="103" t="e">
        <f t="shared" ca="1" si="203"/>
        <v>#REF!</v>
      </c>
      <c r="K1024" s="103" t="e">
        <f t="shared" ca="1" si="204"/>
        <v>#REF!</v>
      </c>
      <c r="L1024" s="103" t="e">
        <f t="shared" ca="1" si="205"/>
        <v>#REF!</v>
      </c>
      <c r="M1024" s="103" t="e">
        <f t="shared" ca="1" si="206"/>
        <v>#REF!</v>
      </c>
      <c r="N1024" s="104" t="e">
        <f t="shared" ca="1" si="207"/>
        <v>#REF!</v>
      </c>
    </row>
    <row r="1025" spans="1:14">
      <c r="A1025" s="95">
        <v>987</v>
      </c>
      <c r="B1025" s="102" t="e">
        <f t="shared" ca="1" si="195"/>
        <v>#REF!</v>
      </c>
      <c r="C1025" s="102" t="e">
        <f t="shared" ca="1" si="196"/>
        <v>#REF!</v>
      </c>
      <c r="D1025" s="102" t="e">
        <f t="shared" ca="1" si="197"/>
        <v>#REF!</v>
      </c>
      <c r="E1025" s="102" t="e">
        <f t="shared" ca="1" si="198"/>
        <v>#REF!</v>
      </c>
      <c r="F1025" s="102" t="e">
        <f t="shared" ca="1" si="199"/>
        <v>#REF!</v>
      </c>
      <c r="G1025" s="103">
        <f t="shared" ca="1" si="200"/>
        <v>0.43630393855105815</v>
      </c>
      <c r="H1025" s="103">
        <f t="shared" ca="1" si="201"/>
        <v>0.2264352284493425</v>
      </c>
      <c r="I1025" s="103" t="e">
        <f t="shared" ca="1" si="202"/>
        <v>#REF!</v>
      </c>
      <c r="J1025" s="103" t="e">
        <f t="shared" ca="1" si="203"/>
        <v>#REF!</v>
      </c>
      <c r="K1025" s="103" t="e">
        <f t="shared" ca="1" si="204"/>
        <v>#REF!</v>
      </c>
      <c r="L1025" s="103" t="e">
        <f t="shared" ca="1" si="205"/>
        <v>#REF!</v>
      </c>
      <c r="M1025" s="103" t="e">
        <f t="shared" ca="1" si="206"/>
        <v>#REF!</v>
      </c>
      <c r="N1025" s="104" t="e">
        <f t="shared" ca="1" si="207"/>
        <v>#REF!</v>
      </c>
    </row>
    <row r="1026" spans="1:14">
      <c r="A1026" s="96">
        <v>988</v>
      </c>
      <c r="B1026" s="102" t="e">
        <f t="shared" ca="1" si="195"/>
        <v>#REF!</v>
      </c>
      <c r="C1026" s="102" t="e">
        <f t="shared" ca="1" si="196"/>
        <v>#REF!</v>
      </c>
      <c r="D1026" s="102" t="e">
        <f t="shared" ca="1" si="197"/>
        <v>#REF!</v>
      </c>
      <c r="E1026" s="102" t="e">
        <f t="shared" ca="1" si="198"/>
        <v>#REF!</v>
      </c>
      <c r="F1026" s="102" t="e">
        <f t="shared" ca="1" si="199"/>
        <v>#REF!</v>
      </c>
      <c r="G1026" s="103">
        <f t="shared" ca="1" si="200"/>
        <v>0.41206420490984125</v>
      </c>
      <c r="H1026" s="103">
        <f t="shared" ca="1" si="201"/>
        <v>0.1751831907714767</v>
      </c>
      <c r="I1026" s="103" t="e">
        <f t="shared" ca="1" si="202"/>
        <v>#REF!</v>
      </c>
      <c r="J1026" s="103" t="e">
        <f t="shared" ca="1" si="203"/>
        <v>#REF!</v>
      </c>
      <c r="K1026" s="103" t="e">
        <f t="shared" ca="1" si="204"/>
        <v>#REF!</v>
      </c>
      <c r="L1026" s="103" t="e">
        <f t="shared" ca="1" si="205"/>
        <v>#REF!</v>
      </c>
      <c r="M1026" s="103" t="e">
        <f t="shared" ca="1" si="206"/>
        <v>#REF!</v>
      </c>
      <c r="N1026" s="104" t="e">
        <f t="shared" ca="1" si="207"/>
        <v>#REF!</v>
      </c>
    </row>
    <row r="1027" spans="1:14">
      <c r="A1027" s="95">
        <v>989</v>
      </c>
      <c r="B1027" s="102" t="e">
        <f t="shared" ca="1" si="195"/>
        <v>#REF!</v>
      </c>
      <c r="C1027" s="102" t="e">
        <f t="shared" ca="1" si="196"/>
        <v>#REF!</v>
      </c>
      <c r="D1027" s="102" t="e">
        <f t="shared" ca="1" si="197"/>
        <v>#REF!</v>
      </c>
      <c r="E1027" s="102" t="e">
        <f t="shared" ca="1" si="198"/>
        <v>#REF!</v>
      </c>
      <c r="F1027" s="102" t="e">
        <f t="shared" ca="1" si="199"/>
        <v>#REF!</v>
      </c>
      <c r="G1027" s="103">
        <f t="shared" ca="1" si="200"/>
        <v>0.42367863143978018</v>
      </c>
      <c r="H1027" s="103">
        <f t="shared" ca="1" si="201"/>
        <v>0.20147886804651435</v>
      </c>
      <c r="I1027" s="103" t="e">
        <f t="shared" ca="1" si="202"/>
        <v>#REF!</v>
      </c>
      <c r="J1027" s="103" t="e">
        <f t="shared" ca="1" si="203"/>
        <v>#REF!</v>
      </c>
      <c r="K1027" s="103" t="e">
        <f t="shared" ca="1" si="204"/>
        <v>#REF!</v>
      </c>
      <c r="L1027" s="103" t="e">
        <f t="shared" ca="1" si="205"/>
        <v>#REF!</v>
      </c>
      <c r="M1027" s="103" t="e">
        <f t="shared" ca="1" si="206"/>
        <v>#REF!</v>
      </c>
      <c r="N1027" s="104" t="e">
        <f t="shared" ca="1" si="207"/>
        <v>#REF!</v>
      </c>
    </row>
    <row r="1028" spans="1:14">
      <c r="A1028" s="96">
        <v>990</v>
      </c>
      <c r="B1028" s="102" t="e">
        <f t="shared" ca="1" si="195"/>
        <v>#REF!</v>
      </c>
      <c r="C1028" s="102" t="e">
        <f t="shared" ca="1" si="196"/>
        <v>#REF!</v>
      </c>
      <c r="D1028" s="102" t="e">
        <f t="shared" ca="1" si="197"/>
        <v>#REF!</v>
      </c>
      <c r="E1028" s="102" t="e">
        <f t="shared" ca="1" si="198"/>
        <v>#REF!</v>
      </c>
      <c r="F1028" s="102" t="e">
        <f t="shared" ca="1" si="199"/>
        <v>#REF!</v>
      </c>
      <c r="G1028" s="103">
        <f t="shared" ca="1" si="200"/>
        <v>0.44754103221657793</v>
      </c>
      <c r="H1028" s="103">
        <f t="shared" ca="1" si="201"/>
        <v>0.20587369663671889</v>
      </c>
      <c r="I1028" s="103" t="e">
        <f t="shared" ca="1" si="202"/>
        <v>#REF!</v>
      </c>
      <c r="J1028" s="103" t="e">
        <f t="shared" ca="1" si="203"/>
        <v>#REF!</v>
      </c>
      <c r="K1028" s="103" t="e">
        <f t="shared" ca="1" si="204"/>
        <v>#REF!</v>
      </c>
      <c r="L1028" s="103" t="e">
        <f t="shared" ca="1" si="205"/>
        <v>#REF!</v>
      </c>
      <c r="M1028" s="103" t="e">
        <f t="shared" ca="1" si="206"/>
        <v>#REF!</v>
      </c>
      <c r="N1028" s="104" t="e">
        <f t="shared" ca="1" si="207"/>
        <v>#REF!</v>
      </c>
    </row>
    <row r="1029" spans="1:14">
      <c r="A1029" s="95">
        <v>991</v>
      </c>
      <c r="B1029" s="102" t="e">
        <f t="shared" ca="1" si="195"/>
        <v>#REF!</v>
      </c>
      <c r="C1029" s="102" t="e">
        <f t="shared" ca="1" si="196"/>
        <v>#REF!</v>
      </c>
      <c r="D1029" s="102" t="e">
        <f t="shared" ca="1" si="197"/>
        <v>#REF!</v>
      </c>
      <c r="E1029" s="102" t="e">
        <f t="shared" ca="1" si="198"/>
        <v>#REF!</v>
      </c>
      <c r="F1029" s="102" t="e">
        <f t="shared" ca="1" si="199"/>
        <v>#REF!</v>
      </c>
      <c r="G1029" s="103">
        <f t="shared" ca="1" si="200"/>
        <v>0.40129032868685705</v>
      </c>
      <c r="H1029" s="103">
        <f t="shared" ca="1" si="201"/>
        <v>0.19736738706244952</v>
      </c>
      <c r="I1029" s="103" t="e">
        <f t="shared" ca="1" si="202"/>
        <v>#REF!</v>
      </c>
      <c r="J1029" s="103" t="e">
        <f t="shared" ca="1" si="203"/>
        <v>#REF!</v>
      </c>
      <c r="K1029" s="103" t="e">
        <f t="shared" ca="1" si="204"/>
        <v>#REF!</v>
      </c>
      <c r="L1029" s="103" t="e">
        <f t="shared" ca="1" si="205"/>
        <v>#REF!</v>
      </c>
      <c r="M1029" s="103" t="e">
        <f t="shared" ca="1" si="206"/>
        <v>#REF!</v>
      </c>
      <c r="N1029" s="104" t="e">
        <f t="shared" ca="1" si="207"/>
        <v>#REF!</v>
      </c>
    </row>
    <row r="1030" spans="1:14">
      <c r="A1030" s="96">
        <v>992</v>
      </c>
      <c r="B1030" s="102" t="e">
        <f t="shared" ca="1" si="195"/>
        <v>#REF!</v>
      </c>
      <c r="C1030" s="102" t="e">
        <f t="shared" ca="1" si="196"/>
        <v>#REF!</v>
      </c>
      <c r="D1030" s="102" t="e">
        <f t="shared" ca="1" si="197"/>
        <v>#REF!</v>
      </c>
      <c r="E1030" s="102" t="e">
        <f t="shared" ca="1" si="198"/>
        <v>#REF!</v>
      </c>
      <c r="F1030" s="102" t="e">
        <f t="shared" ca="1" si="199"/>
        <v>#REF!</v>
      </c>
      <c r="G1030" s="103">
        <f t="shared" ca="1" si="200"/>
        <v>0.45378197200199155</v>
      </c>
      <c r="H1030" s="103">
        <f t="shared" ca="1" si="201"/>
        <v>0.19559227926502915</v>
      </c>
      <c r="I1030" s="103" t="e">
        <f t="shared" ca="1" si="202"/>
        <v>#REF!</v>
      </c>
      <c r="J1030" s="103" t="e">
        <f t="shared" ca="1" si="203"/>
        <v>#REF!</v>
      </c>
      <c r="K1030" s="103" t="e">
        <f t="shared" ca="1" si="204"/>
        <v>#REF!</v>
      </c>
      <c r="L1030" s="103" t="e">
        <f t="shared" ca="1" si="205"/>
        <v>#REF!</v>
      </c>
      <c r="M1030" s="103" t="e">
        <f t="shared" ca="1" si="206"/>
        <v>#REF!</v>
      </c>
      <c r="N1030" s="104" t="e">
        <f t="shared" ca="1" si="207"/>
        <v>#REF!</v>
      </c>
    </row>
    <row r="1031" spans="1:14">
      <c r="A1031" s="95">
        <v>993</v>
      </c>
      <c r="B1031" s="102" t="e">
        <f t="shared" ca="1" si="195"/>
        <v>#REF!</v>
      </c>
      <c r="C1031" s="102" t="e">
        <f t="shared" ca="1" si="196"/>
        <v>#REF!</v>
      </c>
      <c r="D1031" s="102" t="e">
        <f t="shared" ca="1" si="197"/>
        <v>#REF!</v>
      </c>
      <c r="E1031" s="102" t="e">
        <f t="shared" ca="1" si="198"/>
        <v>#REF!</v>
      </c>
      <c r="F1031" s="102" t="e">
        <f t="shared" ca="1" si="199"/>
        <v>#REF!</v>
      </c>
      <c r="G1031" s="103">
        <f t="shared" ca="1" si="200"/>
        <v>0.39376314085176478</v>
      </c>
      <c r="H1031" s="103">
        <f t="shared" ca="1" si="201"/>
        <v>0.23201118474168481</v>
      </c>
      <c r="I1031" s="103" t="e">
        <f t="shared" ca="1" si="202"/>
        <v>#REF!</v>
      </c>
      <c r="J1031" s="103" t="e">
        <f t="shared" ca="1" si="203"/>
        <v>#REF!</v>
      </c>
      <c r="K1031" s="103" t="e">
        <f t="shared" ca="1" si="204"/>
        <v>#REF!</v>
      </c>
      <c r="L1031" s="103" t="e">
        <f t="shared" ca="1" si="205"/>
        <v>#REF!</v>
      </c>
      <c r="M1031" s="103" t="e">
        <f t="shared" ca="1" si="206"/>
        <v>#REF!</v>
      </c>
      <c r="N1031" s="104" t="e">
        <f t="shared" ca="1" si="207"/>
        <v>#REF!</v>
      </c>
    </row>
    <row r="1032" spans="1:14">
      <c r="A1032" s="96">
        <v>994</v>
      </c>
      <c r="B1032" s="102" t="e">
        <f t="shared" ca="1" si="195"/>
        <v>#REF!</v>
      </c>
      <c r="C1032" s="102" t="e">
        <f t="shared" ca="1" si="196"/>
        <v>#REF!</v>
      </c>
      <c r="D1032" s="102" t="e">
        <f t="shared" ca="1" si="197"/>
        <v>#REF!</v>
      </c>
      <c r="E1032" s="102" t="e">
        <f t="shared" ca="1" si="198"/>
        <v>#REF!</v>
      </c>
      <c r="F1032" s="102" t="e">
        <f t="shared" ca="1" si="199"/>
        <v>#REF!</v>
      </c>
      <c r="G1032" s="103">
        <f t="shared" ca="1" si="200"/>
        <v>0.45127502498553024</v>
      </c>
      <c r="H1032" s="103">
        <f t="shared" ca="1" si="201"/>
        <v>0.20753357222094851</v>
      </c>
      <c r="I1032" s="103" t="e">
        <f t="shared" ca="1" si="202"/>
        <v>#REF!</v>
      </c>
      <c r="J1032" s="103" t="e">
        <f t="shared" ca="1" si="203"/>
        <v>#REF!</v>
      </c>
      <c r="K1032" s="103" t="e">
        <f t="shared" ca="1" si="204"/>
        <v>#REF!</v>
      </c>
      <c r="L1032" s="103" t="e">
        <f t="shared" ca="1" si="205"/>
        <v>#REF!</v>
      </c>
      <c r="M1032" s="103" t="e">
        <f t="shared" ca="1" si="206"/>
        <v>#REF!</v>
      </c>
      <c r="N1032" s="104" t="e">
        <f t="shared" ca="1" si="207"/>
        <v>#REF!</v>
      </c>
    </row>
    <row r="1033" spans="1:14">
      <c r="A1033" s="95">
        <v>995</v>
      </c>
      <c r="B1033" s="102" t="e">
        <f t="shared" ca="1" si="195"/>
        <v>#REF!</v>
      </c>
      <c r="C1033" s="102" t="e">
        <f t="shared" ca="1" si="196"/>
        <v>#REF!</v>
      </c>
      <c r="D1033" s="102" t="e">
        <f t="shared" ca="1" si="197"/>
        <v>#REF!</v>
      </c>
      <c r="E1033" s="102" t="e">
        <f t="shared" ca="1" si="198"/>
        <v>#REF!</v>
      </c>
      <c r="F1033" s="102" t="e">
        <f t="shared" ca="1" si="199"/>
        <v>#REF!</v>
      </c>
      <c r="G1033" s="103">
        <f t="shared" ca="1" si="200"/>
        <v>0.39775393510285184</v>
      </c>
      <c r="H1033" s="103">
        <f t="shared" ca="1" si="201"/>
        <v>0.20337660066619301</v>
      </c>
      <c r="I1033" s="103" t="e">
        <f t="shared" ca="1" si="202"/>
        <v>#REF!</v>
      </c>
      <c r="J1033" s="103" t="e">
        <f t="shared" ca="1" si="203"/>
        <v>#REF!</v>
      </c>
      <c r="K1033" s="103" t="e">
        <f t="shared" ca="1" si="204"/>
        <v>#REF!</v>
      </c>
      <c r="L1033" s="103" t="e">
        <f t="shared" ca="1" si="205"/>
        <v>#REF!</v>
      </c>
      <c r="M1033" s="103" t="e">
        <f t="shared" ca="1" si="206"/>
        <v>#REF!</v>
      </c>
      <c r="N1033" s="104" t="e">
        <f t="shared" ca="1" si="207"/>
        <v>#REF!</v>
      </c>
    </row>
    <row r="1034" spans="1:14">
      <c r="A1034" s="96">
        <v>996</v>
      </c>
      <c r="B1034" s="102" t="e">
        <f t="shared" ca="1" si="195"/>
        <v>#REF!</v>
      </c>
      <c r="C1034" s="102" t="e">
        <f t="shared" ca="1" si="196"/>
        <v>#REF!</v>
      </c>
      <c r="D1034" s="102" t="e">
        <f t="shared" ca="1" si="197"/>
        <v>#REF!</v>
      </c>
      <c r="E1034" s="102" t="e">
        <f t="shared" ca="1" si="198"/>
        <v>#REF!</v>
      </c>
      <c r="F1034" s="102" t="e">
        <f t="shared" ca="1" si="199"/>
        <v>#REF!</v>
      </c>
      <c r="G1034" s="103">
        <f t="shared" ca="1" si="200"/>
        <v>0.42940838685902566</v>
      </c>
      <c r="H1034" s="103">
        <f t="shared" ca="1" si="201"/>
        <v>0.21146320906071819</v>
      </c>
      <c r="I1034" s="103" t="e">
        <f t="shared" ca="1" si="202"/>
        <v>#REF!</v>
      </c>
      <c r="J1034" s="103" t="e">
        <f t="shared" ca="1" si="203"/>
        <v>#REF!</v>
      </c>
      <c r="K1034" s="103" t="e">
        <f t="shared" ca="1" si="204"/>
        <v>#REF!</v>
      </c>
      <c r="L1034" s="103" t="e">
        <f t="shared" ca="1" si="205"/>
        <v>#REF!</v>
      </c>
      <c r="M1034" s="103" t="e">
        <f t="shared" ca="1" si="206"/>
        <v>#REF!</v>
      </c>
      <c r="N1034" s="104" t="e">
        <f t="shared" ca="1" si="207"/>
        <v>#REF!</v>
      </c>
    </row>
    <row r="1035" spans="1:14">
      <c r="A1035" s="95">
        <v>997</v>
      </c>
      <c r="B1035" s="102" t="e">
        <f t="shared" ca="1" si="195"/>
        <v>#REF!</v>
      </c>
      <c r="C1035" s="102" t="e">
        <f t="shared" ca="1" si="196"/>
        <v>#REF!</v>
      </c>
      <c r="D1035" s="102" t="e">
        <f t="shared" ca="1" si="197"/>
        <v>#REF!</v>
      </c>
      <c r="E1035" s="102" t="e">
        <f t="shared" ca="1" si="198"/>
        <v>#REF!</v>
      </c>
      <c r="F1035" s="102" t="e">
        <f t="shared" ca="1" si="199"/>
        <v>#REF!</v>
      </c>
      <c r="G1035" s="103">
        <f t="shared" ca="1" si="200"/>
        <v>0.44405992378382964</v>
      </c>
      <c r="H1035" s="103">
        <f t="shared" ca="1" si="201"/>
        <v>0.21584570115372381</v>
      </c>
      <c r="I1035" s="103" t="e">
        <f t="shared" ca="1" si="202"/>
        <v>#REF!</v>
      </c>
      <c r="J1035" s="103" t="e">
        <f t="shared" ca="1" si="203"/>
        <v>#REF!</v>
      </c>
      <c r="K1035" s="103" t="e">
        <f t="shared" ca="1" si="204"/>
        <v>#REF!</v>
      </c>
      <c r="L1035" s="103" t="e">
        <f t="shared" ca="1" si="205"/>
        <v>#REF!</v>
      </c>
      <c r="M1035" s="103" t="e">
        <f t="shared" ca="1" si="206"/>
        <v>#REF!</v>
      </c>
      <c r="N1035" s="104" t="e">
        <f t="shared" ca="1" si="207"/>
        <v>#REF!</v>
      </c>
    </row>
    <row r="1036" spans="1:14">
      <c r="A1036" s="96">
        <v>998</v>
      </c>
      <c r="B1036" s="102" t="e">
        <f t="shared" ca="1" si="195"/>
        <v>#REF!</v>
      </c>
      <c r="C1036" s="102" t="e">
        <f t="shared" ca="1" si="196"/>
        <v>#REF!</v>
      </c>
      <c r="D1036" s="102" t="e">
        <f t="shared" ca="1" si="197"/>
        <v>#REF!</v>
      </c>
      <c r="E1036" s="102" t="e">
        <f t="shared" ca="1" si="198"/>
        <v>#REF!</v>
      </c>
      <c r="F1036" s="102" t="e">
        <f t="shared" ca="1" si="199"/>
        <v>#REF!</v>
      </c>
      <c r="G1036" s="103">
        <f t="shared" ca="1" si="200"/>
        <v>0.43541312186233011</v>
      </c>
      <c r="H1036" s="103">
        <f t="shared" ca="1" si="201"/>
        <v>0.20670249148176734</v>
      </c>
      <c r="I1036" s="103" t="e">
        <f t="shared" ca="1" si="202"/>
        <v>#REF!</v>
      </c>
      <c r="J1036" s="103" t="e">
        <f t="shared" ca="1" si="203"/>
        <v>#REF!</v>
      </c>
      <c r="K1036" s="103" t="e">
        <f t="shared" ca="1" si="204"/>
        <v>#REF!</v>
      </c>
      <c r="L1036" s="103" t="e">
        <f t="shared" ca="1" si="205"/>
        <v>#REF!</v>
      </c>
      <c r="M1036" s="103" t="e">
        <f t="shared" ca="1" si="206"/>
        <v>#REF!</v>
      </c>
      <c r="N1036" s="104" t="e">
        <f t="shared" ca="1" si="207"/>
        <v>#REF!</v>
      </c>
    </row>
    <row r="1037" spans="1:14">
      <c r="A1037" s="95">
        <v>999</v>
      </c>
      <c r="B1037" s="102" t="e">
        <f t="shared" ca="1" si="195"/>
        <v>#REF!</v>
      </c>
      <c r="C1037" s="102" t="e">
        <f t="shared" ca="1" si="196"/>
        <v>#REF!</v>
      </c>
      <c r="D1037" s="102" t="e">
        <f t="shared" ca="1" si="197"/>
        <v>#REF!</v>
      </c>
      <c r="E1037" s="102" t="e">
        <f t="shared" ca="1" si="198"/>
        <v>#REF!</v>
      </c>
      <c r="F1037" s="102" t="e">
        <f t="shared" ca="1" si="199"/>
        <v>#REF!</v>
      </c>
      <c r="G1037" s="103">
        <f t="shared" ca="1" si="200"/>
        <v>0.40797610655030542</v>
      </c>
      <c r="H1037" s="103">
        <f t="shared" ca="1" si="201"/>
        <v>0.18384198685669956</v>
      </c>
      <c r="I1037" s="103" t="e">
        <f t="shared" ca="1" si="202"/>
        <v>#REF!</v>
      </c>
      <c r="J1037" s="103" t="e">
        <f t="shared" ca="1" si="203"/>
        <v>#REF!</v>
      </c>
      <c r="K1037" s="103" t="e">
        <f t="shared" ca="1" si="204"/>
        <v>#REF!</v>
      </c>
      <c r="L1037" s="103" t="e">
        <f t="shared" ca="1" si="205"/>
        <v>#REF!</v>
      </c>
      <c r="M1037" s="103" t="e">
        <f t="shared" ca="1" si="206"/>
        <v>#REF!</v>
      </c>
      <c r="N1037" s="104" t="e">
        <f t="shared" ca="1" si="207"/>
        <v>#REF!</v>
      </c>
    </row>
    <row r="1038" spans="1:14">
      <c r="A1038" s="97">
        <v>1000</v>
      </c>
      <c r="B1038" s="102" t="e">
        <f t="shared" ca="1" si="195"/>
        <v>#REF!</v>
      </c>
      <c r="C1038" s="102" t="e">
        <f t="shared" ca="1" si="196"/>
        <v>#REF!</v>
      </c>
      <c r="D1038" s="102" t="e">
        <f t="shared" ca="1" si="197"/>
        <v>#REF!</v>
      </c>
      <c r="E1038" s="102" t="e">
        <f t="shared" ca="1" si="198"/>
        <v>#REF!</v>
      </c>
      <c r="F1038" s="102" t="e">
        <f t="shared" ca="1" si="199"/>
        <v>#REF!</v>
      </c>
      <c r="G1038" s="103">
        <f t="shared" ca="1" si="200"/>
        <v>0.47840633149497813</v>
      </c>
      <c r="H1038" s="103">
        <f t="shared" ca="1" si="201"/>
        <v>0.20887220778322749</v>
      </c>
      <c r="I1038" s="103" t="e">
        <f t="shared" ca="1" si="202"/>
        <v>#REF!</v>
      </c>
      <c r="J1038" s="103" t="e">
        <f t="shared" ca="1" si="203"/>
        <v>#REF!</v>
      </c>
      <c r="K1038" s="103" t="e">
        <f t="shared" ca="1" si="204"/>
        <v>#REF!</v>
      </c>
      <c r="L1038" s="103" t="e">
        <f t="shared" ca="1" si="205"/>
        <v>#REF!</v>
      </c>
      <c r="M1038" s="103" t="e">
        <f t="shared" ca="1" si="206"/>
        <v>#REF!</v>
      </c>
      <c r="N1038" s="104" t="e">
        <f t="shared" ca="1" si="207"/>
        <v>#REF!</v>
      </c>
    </row>
  </sheetData>
  <mergeCells count="24">
    <mergeCell ref="A21:N21"/>
    <mergeCell ref="A1:N1"/>
    <mergeCell ref="A2:N2"/>
    <mergeCell ref="A3:N3"/>
    <mergeCell ref="A10:N10"/>
    <mergeCell ref="A14:N14"/>
    <mergeCell ref="A22:C22"/>
    <mergeCell ref="D22:F22"/>
    <mergeCell ref="G22:N22"/>
    <mergeCell ref="A23:C23"/>
    <mergeCell ref="D23:F23"/>
    <mergeCell ref="G23:N23"/>
    <mergeCell ref="A38:N38"/>
    <mergeCell ref="A24:C24"/>
    <mergeCell ref="D24:F24"/>
    <mergeCell ref="G24:N24"/>
    <mergeCell ref="A25:C25"/>
    <mergeCell ref="D25:F25"/>
    <mergeCell ref="G25:N25"/>
    <mergeCell ref="A26:C26"/>
    <mergeCell ref="D26:F26"/>
    <mergeCell ref="G26:N26"/>
    <mergeCell ref="A27:N27"/>
    <mergeCell ref="A36:N3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AFD9D-41F9-4F64-B74E-4E333DB33B5E}">
  <sheetPr codeName="Sheet5"/>
  <dimension ref="H1:AE20"/>
  <sheetViews>
    <sheetView topLeftCell="H1" zoomScale="40" zoomScaleNormal="40" workbookViewId="0">
      <selection activeCell="Y40" sqref="Y40"/>
    </sheetView>
  </sheetViews>
  <sheetFormatPr defaultColWidth="8.85546875" defaultRowHeight="14.45"/>
  <cols>
    <col min="8" max="8" width="29.140625" customWidth="1"/>
    <col min="9" max="9" width="17.140625" customWidth="1"/>
    <col min="25" max="25" width="19" customWidth="1"/>
    <col min="26" max="26" width="15.7109375" style="5" customWidth="1"/>
    <col min="27" max="27" width="26.28515625" customWidth="1"/>
    <col min="28" max="28" width="8.7109375" customWidth="1"/>
    <col min="29" max="29" width="114.42578125" customWidth="1"/>
    <col min="30" max="30" width="96" customWidth="1"/>
  </cols>
  <sheetData>
    <row r="1" spans="8:31"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 t="s">
        <v>141</v>
      </c>
      <c r="AB1" s="5"/>
      <c r="AC1" s="167"/>
      <c r="AD1" s="167"/>
      <c r="AE1" s="167"/>
    </row>
    <row r="2" spans="8:31"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" t="s">
        <v>142</v>
      </c>
      <c r="AB2" s="12" t="s">
        <v>143</v>
      </c>
      <c r="AC2" s="1" t="s">
        <v>144</v>
      </c>
      <c r="AD2" s="1" t="s">
        <v>145</v>
      </c>
      <c r="AE2" s="1" t="s">
        <v>146</v>
      </c>
    </row>
    <row r="3" spans="8:31"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 t="s">
        <v>121</v>
      </c>
      <c r="AB3" s="5" t="s">
        <v>147</v>
      </c>
      <c r="AC3" s="4" t="s">
        <v>148</v>
      </c>
      <c r="AD3" s="167" t="s">
        <v>149</v>
      </c>
      <c r="AE3" s="13" t="s">
        <v>150</v>
      </c>
    </row>
    <row r="4" spans="8:31"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Z4" s="167"/>
      <c r="AA4" s="167" t="s">
        <v>123</v>
      </c>
      <c r="AB4" s="5" t="s">
        <v>151</v>
      </c>
      <c r="AC4" s="4" t="s">
        <v>152</v>
      </c>
      <c r="AD4" s="167" t="s">
        <v>153</v>
      </c>
      <c r="AE4" s="13" t="s">
        <v>154</v>
      </c>
    </row>
    <row r="5" spans="8:31"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A5" s="167" t="s">
        <v>155</v>
      </c>
      <c r="AB5" s="5" t="s">
        <v>156</v>
      </c>
      <c r="AC5" s="4" t="s">
        <v>157</v>
      </c>
      <c r="AD5" s="1" t="s">
        <v>158</v>
      </c>
      <c r="AE5" s="167" t="s">
        <v>159</v>
      </c>
    </row>
    <row r="6" spans="8:31"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 t="s">
        <v>3</v>
      </c>
      <c r="AB6" s="5" t="s">
        <v>160</v>
      </c>
      <c r="AC6" s="167" t="s">
        <v>161</v>
      </c>
      <c r="AD6" s="167" t="s">
        <v>162</v>
      </c>
      <c r="AE6" s="14" t="s">
        <v>163</v>
      </c>
    </row>
    <row r="7" spans="8:31" ht="31.35" customHeight="1">
      <c r="H7" s="3" t="s">
        <v>164</v>
      </c>
      <c r="I7" s="3" t="s">
        <v>144</v>
      </c>
      <c r="J7" s="167"/>
      <c r="K7" s="11"/>
      <c r="L7" s="11"/>
      <c r="M7" s="167"/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7"/>
      <c r="Y7" s="167"/>
      <c r="Z7" s="167"/>
      <c r="AA7" s="167" t="s">
        <v>165</v>
      </c>
      <c r="AB7" s="5" t="s">
        <v>166</v>
      </c>
      <c r="AC7" s="167" t="s">
        <v>167</v>
      </c>
      <c r="AD7" s="167" t="s">
        <v>168</v>
      </c>
      <c r="AE7" s="167" t="s">
        <v>169</v>
      </c>
    </row>
    <row r="8" spans="8:31" ht="43.5">
      <c r="H8" s="3" t="s">
        <v>170</v>
      </c>
      <c r="I8" s="6">
        <f>$Z$8/10000</f>
        <v>0.19370000000000001</v>
      </c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  <c r="Y8" s="167"/>
      <c r="Z8" s="5">
        <v>1937</v>
      </c>
      <c r="AA8" s="167" t="s">
        <v>171</v>
      </c>
      <c r="AB8" s="5" t="s">
        <v>172</v>
      </c>
      <c r="AC8" s="15" t="s">
        <v>173</v>
      </c>
      <c r="AD8" s="1" t="s">
        <v>174</v>
      </c>
      <c r="AE8" s="1" t="s">
        <v>175</v>
      </c>
    </row>
    <row r="9" spans="8:31">
      <c r="H9" s="3" t="s">
        <v>176</v>
      </c>
      <c r="I9" s="6">
        <f>$Z$9/10000</f>
        <v>0.16270000000000001</v>
      </c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167"/>
      <c r="Y9" s="167"/>
      <c r="Z9" s="5">
        <v>1627</v>
      </c>
      <c r="AA9" s="167" t="s">
        <v>177</v>
      </c>
      <c r="AB9" s="5" t="s">
        <v>178</v>
      </c>
      <c r="AC9" s="4" t="s">
        <v>179</v>
      </c>
      <c r="AD9" s="167"/>
      <c r="AE9" s="167"/>
    </row>
    <row r="10" spans="8:31">
      <c r="H10" s="3" t="s">
        <v>3</v>
      </c>
      <c r="I10" s="6">
        <v>0.69</v>
      </c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167"/>
      <c r="Y10" s="167"/>
      <c r="AA10" s="167" t="s">
        <v>180</v>
      </c>
      <c r="AB10" s="5" t="s">
        <v>181</v>
      </c>
      <c r="AC10" s="4" t="s">
        <v>182</v>
      </c>
      <c r="AD10" s="167"/>
      <c r="AE10" s="167"/>
    </row>
    <row r="11" spans="8:31">
      <c r="H11" s="3" t="s">
        <v>183</v>
      </c>
      <c r="I11" s="6">
        <v>1000</v>
      </c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 t="s">
        <v>177</v>
      </c>
      <c r="Z11" s="167">
        <f>IFERROR(MIN(1, ('1_Optimization_Engine (old)'!C2 + '1_Optimization_Engine (old)'!C3) / '1_Optimization_Engine (old)'!C11), 0)</f>
        <v>1</v>
      </c>
      <c r="AA11" s="167" t="s">
        <v>184</v>
      </c>
      <c r="AB11" s="5" t="s">
        <v>185</v>
      </c>
      <c r="AC11" s="4" t="s">
        <v>186</v>
      </c>
      <c r="AD11" s="167"/>
      <c r="AE11" s="167"/>
    </row>
    <row r="12" spans="8:31">
      <c r="H12" s="1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 t="s">
        <v>180</v>
      </c>
      <c r="Z12" s="5">
        <f>1 - Z11</f>
        <v>0</v>
      </c>
      <c r="AA12" s="167"/>
      <c r="AB12" s="167"/>
      <c r="AC12" s="167"/>
      <c r="AD12" s="167"/>
      <c r="AE12" s="167"/>
    </row>
    <row r="13" spans="8:31">
      <c r="H13" s="1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 t="s">
        <v>184</v>
      </c>
      <c r="Z13" s="167" t="str">
        <f>IFERROR(TEXT(('1_Optimization_Engine (old)'!C2 + '1_Optimization_Engine (old)'!C3) / '1_Optimization_Engine (old)'!C11, "0%") &amp; " Compliant", "0% Compliant")</f>
        <v>201% Compliant</v>
      </c>
      <c r="AA13" s="167"/>
      <c r="AB13" s="167"/>
      <c r="AC13" s="167"/>
      <c r="AD13" s="167"/>
      <c r="AE13" s="167"/>
    </row>
    <row r="14" spans="8:31" ht="15" thickBot="1"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67"/>
      <c r="W14" s="167"/>
      <c r="X14" s="167"/>
      <c r="Y14" s="167"/>
      <c r="AA14" s="167"/>
      <c r="AB14" s="167"/>
      <c r="AC14" s="167"/>
      <c r="AD14" s="167"/>
      <c r="AE14" s="167"/>
    </row>
    <row r="15" spans="8:31">
      <c r="H15" s="210" t="str">
        <f>"STRATEGIC INSIGHT: The farm is currently space-constrained. 
Every additional m² of shelf area added to the facility would increase cycle profit by "&amp;TEXT('1_Optimization_Engine (old)'!$A$28, "$#,##0.00")&amp;". We recommend prioritizing vertical expansion."</f>
        <v>STRATEGIC INSIGHT: The farm is currently space-constrained. 
Every additional m² of shelf area added to the facility would increase cycle profit by $46.61. We recommend prioritizing vertical expansion.</v>
      </c>
      <c r="I15" s="211"/>
      <c r="J15" s="211"/>
      <c r="K15" s="212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67"/>
      <c r="X15" s="167"/>
      <c r="Y15" s="167" t="s">
        <v>187</v>
      </c>
      <c r="Z15" s="17" t="s">
        <v>144</v>
      </c>
      <c r="AA15" s="167"/>
      <c r="AB15" s="167"/>
      <c r="AC15" s="167"/>
      <c r="AD15" s="167"/>
      <c r="AE15" s="167"/>
    </row>
    <row r="16" spans="8:31">
      <c r="H16" s="213"/>
      <c r="I16" s="214"/>
      <c r="J16" s="214"/>
      <c r="K16" s="215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67" t="s">
        <v>188</v>
      </c>
      <c r="Z16" s="17">
        <f>SUM('1_Optimization_Engine (old)'!E2:E6)</f>
        <v>62993.722499999996</v>
      </c>
      <c r="AA16" s="167"/>
      <c r="AB16" s="167"/>
      <c r="AC16" s="167"/>
      <c r="AD16" s="167"/>
      <c r="AE16" s="167"/>
    </row>
    <row r="17" spans="8:26">
      <c r="H17" s="213"/>
      <c r="I17" s="214"/>
      <c r="J17" s="214"/>
      <c r="K17" s="215"/>
      <c r="L17" s="167"/>
      <c r="M17" s="167"/>
      <c r="N17" s="167"/>
      <c r="O17" s="167"/>
      <c r="P17" s="167"/>
      <c r="Q17" s="167"/>
      <c r="R17" s="167"/>
      <c r="S17" s="167"/>
      <c r="T17" s="167"/>
      <c r="U17" s="167"/>
      <c r="V17" s="167"/>
      <c r="W17" s="167"/>
      <c r="X17" s="167"/>
      <c r="Y17" s="167" t="s">
        <v>189</v>
      </c>
      <c r="Z17" s="167">
        <f>-SUM('1_Optimization_Engine (old)'!F2:F6)</f>
        <v>-0.32885999999999993</v>
      </c>
    </row>
    <row r="18" spans="8:26">
      <c r="H18" s="213"/>
      <c r="I18" s="214"/>
      <c r="J18" s="214"/>
      <c r="K18" s="215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167"/>
      <c r="X18" s="167"/>
      <c r="Y18" s="167" t="s">
        <v>190</v>
      </c>
      <c r="Z18" s="167">
        <f>'1_Optimization_Engine (old)'!C12</f>
        <v>59377.000068000001</v>
      </c>
    </row>
    <row r="19" spans="8:26">
      <c r="H19" s="213"/>
      <c r="I19" s="214"/>
      <c r="J19" s="214"/>
      <c r="K19" s="215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</row>
    <row r="20" spans="8:26" ht="15" thickBot="1">
      <c r="H20" s="216"/>
      <c r="I20" s="217"/>
      <c r="J20" s="217"/>
      <c r="K20" s="218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</row>
  </sheetData>
  <mergeCells count="1">
    <mergeCell ref="H15:K20"/>
  </mergeCells>
  <phoneticPr fontId="6" type="noConversion"/>
  <hyperlinks>
    <hyperlink ref="AE3" r:id="rId1" xr:uid="{F3390DA0-B78D-4046-A649-5DED5F5120AD}"/>
    <hyperlink ref="AE4" r:id="rId2" display="https://www.senokoenergy.com/households/promotions/lifesavvy24 " xr:uid="{D4D5AD59-6ACB-43EE-BBAB-BF053BA63187}"/>
    <hyperlink ref="AE6" r:id="rId3" xr:uid="{4AD7BBC6-7439-4199-8096-BB8BEE15DB14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Scroll Bar 1">
              <controlPr defaultSize="0" autoPict="0">
                <anchor moveWithCells="1">
                  <from>
                    <xdr:col>9</xdr:col>
                    <xdr:colOff>0</xdr:colOff>
                    <xdr:row>6</xdr:row>
                    <xdr:rowOff>393700</xdr:rowOff>
                  </from>
                  <to>
                    <xdr:col>11</xdr:col>
                    <xdr:colOff>38100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Scroll Bar 3">
              <controlPr defaultSize="0" autoPict="0">
                <anchor moveWithCells="1">
                  <from>
                    <xdr:col>9</xdr:col>
                    <xdr:colOff>12700</xdr:colOff>
                    <xdr:row>8</xdr:row>
                    <xdr:rowOff>38100</xdr:rowOff>
                  </from>
                  <to>
                    <xdr:col>11</xdr:col>
                    <xdr:colOff>12700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2EB4-707D-4F61-A0E7-79CBFC987FB4}">
  <sheetPr codeName="Sheet6"/>
  <dimension ref="A1:O28"/>
  <sheetViews>
    <sheetView zoomScale="55" zoomScaleNormal="55" workbookViewId="0">
      <selection activeCell="H4" sqref="H4"/>
    </sheetView>
  </sheetViews>
  <sheetFormatPr defaultColWidth="8.85546875" defaultRowHeight="14.45"/>
  <cols>
    <col min="1" max="1" width="26.140625" customWidth="1"/>
    <col min="2" max="7" width="38.140625" customWidth="1"/>
    <col min="8" max="8" width="40.140625" customWidth="1"/>
    <col min="9" max="9" width="39" customWidth="1"/>
    <col min="11" max="11" width="39.42578125" customWidth="1"/>
    <col min="12" max="12" width="9" style="5"/>
    <col min="13" max="13" width="60.85546875" customWidth="1"/>
    <col min="14" max="14" width="93.42578125" customWidth="1"/>
  </cols>
  <sheetData>
    <row r="1" spans="1:15">
      <c r="A1" s="2" t="s">
        <v>191</v>
      </c>
      <c r="B1" s="2" t="s">
        <v>192</v>
      </c>
      <c r="C1" s="2" t="s">
        <v>193</v>
      </c>
      <c r="D1" s="2" t="s">
        <v>194</v>
      </c>
      <c r="E1" s="2" t="s">
        <v>195</v>
      </c>
      <c r="F1" s="2" t="s">
        <v>196</v>
      </c>
      <c r="G1" s="2" t="s">
        <v>197</v>
      </c>
      <c r="H1" s="2" t="s">
        <v>198</v>
      </c>
      <c r="I1" s="167"/>
      <c r="J1" s="167"/>
      <c r="K1" s="167" t="s">
        <v>141</v>
      </c>
      <c r="M1" s="167"/>
      <c r="N1" s="167"/>
      <c r="O1" s="167"/>
    </row>
    <row r="2" spans="1:15">
      <c r="A2" s="167" t="s">
        <v>20</v>
      </c>
      <c r="B2" s="167">
        <v>200</v>
      </c>
      <c r="C2" s="167">
        <f>B2 * '2_Crop_Parameters (old)'!$C7</f>
        <v>1976.0000000000002</v>
      </c>
      <c r="D2" s="167">
        <f>C2*(1-$C$14)</f>
        <v>1482.0000000000002</v>
      </c>
      <c r="E2" s="167">
        <f>D2 * '2_Crop_Parameters (old)'!$H7</f>
        <v>32722.560000000001</v>
      </c>
      <c r="F2" s="167">
        <f>'2_Crop_Parameters (old)'!C$25*'2_Crop_Parameters (old)'!$C$24</f>
        <v>6.6419999999999993E-2</v>
      </c>
      <c r="G2" s="167">
        <f>C2 * '2_Crop_Parameters (old)'!$E7 * '2_Crop_Parameters (old)'!$L7</f>
        <v>2644.4452320000009</v>
      </c>
      <c r="H2" s="167">
        <f>E2 - G2 - F2</f>
        <v>30078.048348</v>
      </c>
      <c r="I2" s="167"/>
      <c r="J2" s="167"/>
      <c r="K2" s="1" t="s">
        <v>199</v>
      </c>
      <c r="L2" s="1" t="s">
        <v>200</v>
      </c>
      <c r="M2" s="1" t="s">
        <v>201</v>
      </c>
      <c r="N2" s="1" t="s">
        <v>145</v>
      </c>
      <c r="O2" s="1" t="s">
        <v>202</v>
      </c>
    </row>
    <row r="3" spans="1:15">
      <c r="A3" s="167" t="s">
        <v>21</v>
      </c>
      <c r="B3" s="167">
        <v>200</v>
      </c>
      <c r="C3" s="167">
        <f>B3 * '2_Crop_Parameters (old)'!$C8</f>
        <v>700</v>
      </c>
      <c r="D3" s="167">
        <f>C3*(1-$C$14)</f>
        <v>525</v>
      </c>
      <c r="E3" s="167">
        <f>D3 * '2_Crop_Parameters (old)'!$H8</f>
        <v>7154.4375</v>
      </c>
      <c r="F3" s="167">
        <f>'2_Crop_Parameters (old)'!D$25*'2_Crop_Parameters (old)'!$C$24</f>
        <v>5.0867999999999997E-2</v>
      </c>
      <c r="G3" s="167">
        <f>C3 * '2_Crop_Parameters (old)'!$E8 * '2_Crop_Parameters (old)'!$L8</f>
        <v>164.65680000000003</v>
      </c>
      <c r="H3" s="167">
        <f>E3 - G3 - F3</f>
        <v>6989.729832</v>
      </c>
      <c r="I3" s="167"/>
      <c r="J3" s="167"/>
      <c r="K3" s="167" t="s">
        <v>203</v>
      </c>
      <c r="L3" s="5" t="s">
        <v>204</v>
      </c>
      <c r="M3" s="167" t="s">
        <v>205</v>
      </c>
      <c r="N3" s="167" t="s">
        <v>206</v>
      </c>
      <c r="O3" s="13" t="s">
        <v>207</v>
      </c>
    </row>
    <row r="4" spans="1:15">
      <c r="A4" s="167" t="s">
        <v>22</v>
      </c>
      <c r="B4" s="167">
        <v>200</v>
      </c>
      <c r="C4" s="167">
        <f>B4 * '2_Crop_Parameters (old)'!$C9</f>
        <v>370</v>
      </c>
      <c r="D4" s="167">
        <f>C4*(1-$C$14)</f>
        <v>277.5</v>
      </c>
      <c r="E4" s="167">
        <f>D4 * '2_Crop_Parameters (old)'!$H9</f>
        <v>8807.85</v>
      </c>
      <c r="F4" s="167">
        <f>'2_Crop_Parameters (old)'!E$25*'2_Crop_Parameters (old)'!$C$24</f>
        <v>7.2899999999999993E-2</v>
      </c>
      <c r="G4" s="167">
        <f>C4 * '2_Crop_Parameters (old)'!$E9 * '2_Crop_Parameters (old)'!$L9</f>
        <v>495.16434000000004</v>
      </c>
      <c r="H4" s="167">
        <f>E4 - G4 - F4</f>
        <v>8312.6127600000018</v>
      </c>
      <c r="I4" s="167"/>
      <c r="J4" s="167"/>
      <c r="K4" s="167" t="s">
        <v>192</v>
      </c>
      <c r="L4" s="5" t="s">
        <v>208</v>
      </c>
      <c r="M4" s="167" t="s">
        <v>209</v>
      </c>
      <c r="N4" s="167" t="s">
        <v>210</v>
      </c>
      <c r="O4" s="167" t="s">
        <v>211</v>
      </c>
    </row>
    <row r="5" spans="1:15">
      <c r="A5" s="167" t="s">
        <v>23</v>
      </c>
      <c r="B5" s="167">
        <v>200</v>
      </c>
      <c r="C5" s="167">
        <f>B5 * '2_Crop_Parameters (old)'!$C10</f>
        <v>700</v>
      </c>
      <c r="D5" s="167">
        <f>C5*(1-$C$14)</f>
        <v>525</v>
      </c>
      <c r="E5" s="167">
        <f>D5 * '2_Crop_Parameters (old)'!$H10</f>
        <v>7154.4375</v>
      </c>
      <c r="F5" s="167">
        <f>'2_Crop_Parameters (old)'!F$25*'2_Crop_Parameters (old)'!$C$24</f>
        <v>9.1691999999999996E-2</v>
      </c>
      <c r="G5" s="167">
        <f>C5 * '2_Crop_Parameters (old)'!$E10 * '2_Crop_Parameters (old)'!$L10</f>
        <v>156.06360000000001</v>
      </c>
      <c r="H5" s="167">
        <f>E5 - G5 - F5</f>
        <v>6998.2822079999996</v>
      </c>
      <c r="I5" s="167"/>
      <c r="J5" s="167"/>
      <c r="K5" s="167" t="s">
        <v>212</v>
      </c>
      <c r="L5" s="5" t="s">
        <v>213</v>
      </c>
      <c r="M5" s="4" t="s">
        <v>214</v>
      </c>
      <c r="N5" s="167" t="s">
        <v>215</v>
      </c>
      <c r="O5" s="167" t="s">
        <v>216</v>
      </c>
    </row>
    <row r="6" spans="1:15">
      <c r="A6" s="167" t="s">
        <v>24</v>
      </c>
      <c r="B6" s="167">
        <v>200</v>
      </c>
      <c r="C6" s="167">
        <f>B6 * '2_Crop_Parameters (old)'!$C11</f>
        <v>700</v>
      </c>
      <c r="D6" s="167">
        <f>C6*(1-$C$14)</f>
        <v>525</v>
      </c>
      <c r="E6" s="167">
        <f>D6 * '2_Crop_Parameters (old)'!$H11</f>
        <v>7154.4375</v>
      </c>
      <c r="F6" s="167">
        <f>'2_Crop_Parameters (old)'!G$25*'2_Crop_Parameters (old)'!$C$24</f>
        <v>4.6979999999999994E-2</v>
      </c>
      <c r="G6" s="167">
        <f>C6 * '2_Crop_Parameters (old)'!$E11 * '2_Crop_Parameters (old)'!$L11</f>
        <v>156.06360000000001</v>
      </c>
      <c r="H6" s="167">
        <f>E6 - G6 - F6</f>
        <v>6998.3269199999995</v>
      </c>
      <c r="I6" s="167"/>
      <c r="J6" s="167"/>
      <c r="K6" s="167" t="s">
        <v>217</v>
      </c>
      <c r="L6" s="5" t="s">
        <v>218</v>
      </c>
      <c r="M6" s="4" t="s">
        <v>219</v>
      </c>
      <c r="N6" s="1" t="s">
        <v>220</v>
      </c>
      <c r="O6" s="167" t="s">
        <v>216</v>
      </c>
    </row>
    <row r="7" spans="1:15">
      <c r="A7" s="167"/>
      <c r="B7" s="167"/>
      <c r="C7" s="167"/>
      <c r="D7" s="167"/>
      <c r="E7" s="167"/>
      <c r="F7" s="167"/>
      <c r="G7" s="167"/>
      <c r="H7" s="167"/>
      <c r="I7" s="167"/>
      <c r="J7" s="167"/>
      <c r="K7" s="167" t="s">
        <v>221</v>
      </c>
      <c r="L7" s="5" t="s">
        <v>222</v>
      </c>
      <c r="M7" s="4" t="s">
        <v>223</v>
      </c>
      <c r="N7" s="1" t="s">
        <v>224</v>
      </c>
      <c r="O7" s="167" t="s">
        <v>216</v>
      </c>
    </row>
    <row r="8" spans="1:15">
      <c r="A8" s="167"/>
      <c r="B8" s="167"/>
      <c r="C8" s="167"/>
      <c r="D8" s="167"/>
      <c r="E8" s="167"/>
      <c r="F8" s="167"/>
      <c r="G8" s="167"/>
      <c r="H8" s="167"/>
      <c r="I8" s="167"/>
      <c r="J8" s="167"/>
      <c r="K8" s="167" t="s">
        <v>225</v>
      </c>
      <c r="L8" s="5" t="s">
        <v>226</v>
      </c>
      <c r="M8" s="4" t="s">
        <v>227</v>
      </c>
      <c r="N8" s="167" t="s">
        <v>228</v>
      </c>
      <c r="O8" s="167" t="s">
        <v>216</v>
      </c>
    </row>
    <row r="9" spans="1:15">
      <c r="A9" s="167"/>
      <c r="B9" s="1" t="s">
        <v>229</v>
      </c>
      <c r="C9" s="167">
        <f>SUM($B$2:$B$6)</f>
        <v>1000</v>
      </c>
      <c r="D9" s="167"/>
      <c r="E9" s="167"/>
      <c r="F9" s="167">
        <f>SUM(F2:F6)</f>
        <v>0.32885999999999993</v>
      </c>
      <c r="G9" s="167"/>
      <c r="H9" s="167"/>
      <c r="I9" s="167"/>
      <c r="J9" s="167"/>
      <c r="K9" s="167" t="s">
        <v>229</v>
      </c>
      <c r="L9" s="5" t="s">
        <v>230</v>
      </c>
      <c r="M9" s="4" t="s">
        <v>231</v>
      </c>
      <c r="N9" s="167" t="s">
        <v>232</v>
      </c>
      <c r="O9" s="167" t="s">
        <v>216</v>
      </c>
    </row>
    <row r="10" spans="1:15">
      <c r="A10" s="167"/>
      <c r="B10" s="1" t="s">
        <v>28</v>
      </c>
      <c r="C10" s="167">
        <f>SUM(C2:C6)</f>
        <v>4446</v>
      </c>
      <c r="D10" s="167"/>
      <c r="E10" s="167"/>
      <c r="F10" s="167"/>
      <c r="G10" s="167"/>
      <c r="H10" s="167"/>
      <c r="I10" s="167"/>
      <c r="J10" s="167"/>
      <c r="K10" s="167" t="s">
        <v>28</v>
      </c>
      <c r="L10" s="5" t="s">
        <v>233</v>
      </c>
      <c r="M10" s="4" t="s">
        <v>234</v>
      </c>
      <c r="N10" s="167" t="s">
        <v>235</v>
      </c>
      <c r="O10" s="167" t="s">
        <v>216</v>
      </c>
    </row>
    <row r="11" spans="1:15">
      <c r="A11" s="167"/>
      <c r="B11" s="1" t="s">
        <v>236</v>
      </c>
      <c r="C11" s="167">
        <f>0.3 * C10</f>
        <v>1333.8</v>
      </c>
      <c r="D11" s="167"/>
      <c r="E11" s="167"/>
      <c r="F11" s="167"/>
      <c r="G11" s="167"/>
      <c r="H11" s="167"/>
      <c r="I11" s="167"/>
      <c r="J11" s="167"/>
      <c r="K11" s="167" t="s">
        <v>236</v>
      </c>
      <c r="L11" s="5" t="s">
        <v>237</v>
      </c>
      <c r="M11" s="4" t="s">
        <v>238</v>
      </c>
      <c r="N11" s="167" t="s">
        <v>239</v>
      </c>
      <c r="O11" s="13" t="s">
        <v>207</v>
      </c>
    </row>
    <row r="12" spans="1:15">
      <c r="A12" s="167"/>
      <c r="B12" s="1" t="s">
        <v>240</v>
      </c>
      <c r="C12" s="167">
        <f>SUM($H$2:$H$6)</f>
        <v>59377.000068000001</v>
      </c>
      <c r="D12" s="18"/>
      <c r="E12" s="167"/>
      <c r="F12" s="167"/>
      <c r="G12" s="167"/>
      <c r="H12" s="167"/>
      <c r="I12" s="167"/>
      <c r="J12" s="167"/>
      <c r="K12" s="167" t="s">
        <v>240</v>
      </c>
      <c r="L12" s="5" t="s">
        <v>241</v>
      </c>
      <c r="M12" s="4" t="s">
        <v>242</v>
      </c>
      <c r="N12" s="1" t="s">
        <v>243</v>
      </c>
      <c r="O12" s="167" t="s">
        <v>244</v>
      </c>
    </row>
    <row r="13" spans="1:15">
      <c r="A13" s="167"/>
      <c r="B13" s="1" t="s">
        <v>245</v>
      </c>
      <c r="C13" s="167">
        <f>(C2 + C3) - C11</f>
        <v>1342.2</v>
      </c>
      <c r="D13" s="167"/>
      <c r="E13" s="167"/>
      <c r="F13" s="167"/>
      <c r="G13" s="167"/>
      <c r="H13" s="167"/>
      <c r="I13" s="167"/>
      <c r="J13" s="167"/>
      <c r="K13" s="167" t="s">
        <v>246</v>
      </c>
      <c r="L13" s="5" t="s">
        <v>247</v>
      </c>
      <c r="M13" s="4" t="s">
        <v>248</v>
      </c>
      <c r="N13" s="1" t="s">
        <v>249</v>
      </c>
      <c r="O13" s="167" t="s">
        <v>250</v>
      </c>
    </row>
    <row r="14" spans="1:15">
      <c r="A14" s="167"/>
      <c r="B14" s="1" t="s">
        <v>251</v>
      </c>
      <c r="C14" s="18">
        <v>0.25</v>
      </c>
      <c r="D14" s="18"/>
      <c r="E14" s="167"/>
      <c r="F14" s="167"/>
      <c r="G14" s="167"/>
      <c r="H14" s="167"/>
      <c r="I14" s="167"/>
      <c r="J14" s="167"/>
      <c r="K14" s="167" t="s">
        <v>252</v>
      </c>
      <c r="L14" s="5" t="s">
        <v>253</v>
      </c>
      <c r="M14" s="4" t="s">
        <v>254</v>
      </c>
      <c r="N14" s="167" t="s">
        <v>255</v>
      </c>
      <c r="O14" s="13" t="s">
        <v>207</v>
      </c>
    </row>
    <row r="15" spans="1:15">
      <c r="A15" s="167"/>
      <c r="B15" s="1" t="s">
        <v>256</v>
      </c>
      <c r="C15" s="1">
        <f>SUM(D2:D6)</f>
        <v>3334.5</v>
      </c>
      <c r="D15" s="167"/>
      <c r="E15" s="167" t="s">
        <v>5</v>
      </c>
      <c r="F15" s="167"/>
      <c r="G15" s="167"/>
      <c r="H15" s="167"/>
      <c r="I15" s="167"/>
      <c r="J15" s="167"/>
      <c r="K15" s="167" t="s">
        <v>257</v>
      </c>
      <c r="L15" s="5" t="s">
        <v>258</v>
      </c>
      <c r="M15" s="4" t="s">
        <v>259</v>
      </c>
      <c r="N15" s="167" t="s">
        <v>260</v>
      </c>
      <c r="O15" s="13" t="s">
        <v>261</v>
      </c>
    </row>
    <row r="16" spans="1:15">
      <c r="A16" s="167"/>
      <c r="B16" s="1"/>
      <c r="C16" s="167"/>
      <c r="D16" s="167"/>
      <c r="E16" s="167"/>
      <c r="F16" s="167"/>
      <c r="G16" s="167"/>
      <c r="H16" s="167"/>
      <c r="I16" s="167"/>
      <c r="J16" s="167"/>
      <c r="K16" s="167" t="s">
        <v>183</v>
      </c>
      <c r="L16" s="5" t="s">
        <v>262</v>
      </c>
      <c r="M16" s="4" t="s">
        <v>263</v>
      </c>
      <c r="N16" s="1" t="s">
        <v>264</v>
      </c>
      <c r="O16" s="167" t="s">
        <v>265</v>
      </c>
    </row>
    <row r="17" spans="1:15">
      <c r="A17" s="167"/>
      <c r="B17" s="167"/>
      <c r="C17" s="167"/>
      <c r="D17" s="167"/>
      <c r="E17" s="167"/>
      <c r="F17" s="167"/>
      <c r="G17" s="167"/>
      <c r="H17" s="167"/>
      <c r="I17" s="167"/>
      <c r="J17" s="167"/>
      <c r="K17" s="167" t="s">
        <v>266</v>
      </c>
      <c r="L17" s="5" t="s">
        <v>267</v>
      </c>
      <c r="M17" s="4" t="s">
        <v>268</v>
      </c>
      <c r="N17" s="16" t="s">
        <v>269</v>
      </c>
      <c r="O17" s="167" t="s">
        <v>270</v>
      </c>
    </row>
    <row r="18" spans="1:15">
      <c r="A18" s="1" t="s">
        <v>271</v>
      </c>
      <c r="B18" s="167"/>
      <c r="C18" s="167"/>
      <c r="D18" s="167"/>
      <c r="E18" s="167"/>
      <c r="F18" s="167"/>
      <c r="G18" s="167"/>
      <c r="H18" s="167"/>
      <c r="I18" s="167"/>
      <c r="J18" s="167"/>
      <c r="K18" s="167" t="s">
        <v>251</v>
      </c>
      <c r="L18" s="5" t="s">
        <v>272</v>
      </c>
      <c r="M18" s="4" t="s">
        <v>273</v>
      </c>
      <c r="N18" s="167"/>
      <c r="O18" s="167" t="s">
        <v>274</v>
      </c>
    </row>
    <row r="19" spans="1:15">
      <c r="A19" s="2" t="s">
        <v>191</v>
      </c>
      <c r="B19" s="2" t="s">
        <v>275</v>
      </c>
      <c r="C19" s="2" t="s">
        <v>276</v>
      </c>
      <c r="D19" s="2"/>
      <c r="E19" s="167"/>
      <c r="F19" s="167"/>
      <c r="G19" s="2" t="s">
        <v>183</v>
      </c>
      <c r="H19" s="167"/>
      <c r="I19" s="167"/>
      <c r="J19" s="167"/>
      <c r="K19" s="167"/>
      <c r="M19" s="167"/>
      <c r="N19" s="167"/>
      <c r="O19" s="167"/>
    </row>
    <row r="20" spans="1:15">
      <c r="A20" s="167" t="s">
        <v>20</v>
      </c>
      <c r="B20" s="167">
        <f>'2_Crop_Parameters (old)'!$I7</f>
        <v>3200</v>
      </c>
      <c r="C20" s="167">
        <f>'2_Crop_Parameters (old)'!$J7</f>
        <v>3205</v>
      </c>
      <c r="D20" s="167"/>
      <c r="E20" s="167"/>
      <c r="F20" s="167">
        <v>0</v>
      </c>
      <c r="G20" s="167">
        <f>'0_Model_Dashboard (old)'!I11</f>
        <v>1000</v>
      </c>
      <c r="H20" s="167"/>
      <c r="I20" s="167"/>
      <c r="J20" s="167"/>
      <c r="K20" s="167"/>
      <c r="M20" s="167"/>
      <c r="N20" s="167"/>
      <c r="O20" s="167"/>
    </row>
    <row r="21" spans="1:15">
      <c r="A21" s="167" t="s">
        <v>21</v>
      </c>
      <c r="B21" s="167">
        <f>'2_Crop_Parameters (old)'!$I8</f>
        <v>500</v>
      </c>
      <c r="C21" s="167">
        <f>'2_Crop_Parameters (old)'!$J8</f>
        <v>999999</v>
      </c>
      <c r="D21" s="167"/>
      <c r="E21" s="167"/>
      <c r="F21" s="167"/>
      <c r="G21" s="167"/>
      <c r="H21" s="167"/>
      <c r="I21" s="167"/>
      <c r="J21" s="167"/>
      <c r="K21" s="167"/>
      <c r="M21" s="167"/>
      <c r="N21" s="167"/>
      <c r="O21" s="167"/>
    </row>
    <row r="22" spans="1:15">
      <c r="A22" s="167" t="s">
        <v>22</v>
      </c>
      <c r="B22" s="167">
        <f>'2_Crop_Parameters (old)'!$I9</f>
        <v>0</v>
      </c>
      <c r="C22" s="167">
        <f>'2_Crop_Parameters (old)'!$J9</f>
        <v>1000</v>
      </c>
      <c r="D22" s="167"/>
      <c r="E22" s="167"/>
      <c r="F22" s="167"/>
      <c r="G22" s="167"/>
      <c r="H22" s="167"/>
      <c r="I22" s="167"/>
      <c r="J22" s="167"/>
      <c r="K22" s="167"/>
      <c r="M22" s="167"/>
      <c r="N22" s="167"/>
      <c r="O22" s="167"/>
    </row>
    <row r="23" spans="1:15">
      <c r="A23" s="167" t="s">
        <v>23</v>
      </c>
      <c r="B23" s="167">
        <f>'2_Crop_Parameters (old)'!$I10</f>
        <v>0</v>
      </c>
      <c r="C23" s="167">
        <f>'2_Crop_Parameters (old)'!$J10</f>
        <v>500</v>
      </c>
      <c r="D23" s="167"/>
      <c r="E23" s="167"/>
      <c r="F23" s="167"/>
      <c r="G23" s="167"/>
      <c r="H23" s="167"/>
      <c r="I23" s="167"/>
      <c r="J23" s="167"/>
      <c r="K23" s="167"/>
      <c r="M23" s="167"/>
      <c r="N23" s="167"/>
      <c r="O23" s="167"/>
    </row>
    <row r="24" spans="1:15">
      <c r="A24" s="167" t="s">
        <v>24</v>
      </c>
      <c r="B24" s="167">
        <f>'2_Crop_Parameters (old)'!$I11</f>
        <v>0</v>
      </c>
      <c r="C24" s="167">
        <f>'2_Crop_Parameters (old)'!$J11</f>
        <v>500</v>
      </c>
      <c r="D24" s="167"/>
      <c r="E24" s="167"/>
      <c r="F24" s="167"/>
      <c r="G24" s="167"/>
      <c r="H24" s="167"/>
      <c r="I24" s="167"/>
      <c r="J24" s="167"/>
      <c r="K24" s="167"/>
      <c r="M24" s="167"/>
      <c r="N24" s="167"/>
      <c r="O24" s="167"/>
    </row>
    <row r="27" spans="1:15">
      <c r="A27" s="1" t="s">
        <v>266</v>
      </c>
      <c r="B27" s="167"/>
      <c r="C27" s="167"/>
      <c r="D27" s="167"/>
      <c r="E27" s="167"/>
      <c r="F27" s="167"/>
      <c r="G27" s="167"/>
      <c r="H27" s="167"/>
      <c r="I27" s="167"/>
      <c r="J27" s="167"/>
      <c r="K27" s="167"/>
      <c r="M27" s="167"/>
      <c r="N27" s="167"/>
      <c r="O27" s="167"/>
    </row>
    <row r="28" spans="1:15">
      <c r="A28" s="167">
        <f>'Sensitivity Report 5'!E25</f>
        <v>46.61378400000001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M28" s="167"/>
      <c r="N28" s="167"/>
      <c r="O28" s="167"/>
    </row>
  </sheetData>
  <hyperlinks>
    <hyperlink ref="O3" r:id="rId1" xr:uid="{19C73880-E760-4FB9-8378-873181677B57}"/>
    <hyperlink ref="O11" r:id="rId2" xr:uid="{7C50BDA1-5D57-4675-809F-121C7B31C18E}"/>
    <hyperlink ref="O14" r:id="rId3" xr:uid="{76E28402-E626-4EE5-8E08-D08A78DE7256}"/>
    <hyperlink ref="O15" r:id="rId4" xr:uid="{7B9C1E73-66D4-4436-BE5A-B7E1009B4CA2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16C6-D440-4226-9780-A64D9E037A0A}">
  <sheetPr codeName="Sheet7"/>
  <dimension ref="B1:S26"/>
  <sheetViews>
    <sheetView topLeftCell="K1" zoomScale="40" zoomScaleNormal="40" workbookViewId="0">
      <selection activeCell="S4" sqref="S4"/>
    </sheetView>
  </sheetViews>
  <sheetFormatPr defaultColWidth="8.85546875" defaultRowHeight="14.45"/>
  <cols>
    <col min="2" max="2" width="34.85546875" bestFit="1" customWidth="1"/>
    <col min="3" max="3" width="33.28515625" customWidth="1"/>
    <col min="4" max="4" width="24" customWidth="1"/>
    <col min="5" max="5" width="38.85546875" customWidth="1"/>
    <col min="6" max="6" width="36.42578125" customWidth="1"/>
    <col min="7" max="7" width="29" customWidth="1"/>
    <col min="8" max="8" width="34.42578125" customWidth="1"/>
    <col min="9" max="9" width="19" customWidth="1"/>
    <col min="10" max="10" width="20.42578125" hidden="1" customWidth="1"/>
    <col min="11" max="11" width="25" customWidth="1"/>
    <col min="12" max="12" width="21.42578125" customWidth="1"/>
    <col min="15" max="15" width="33" customWidth="1"/>
    <col min="16" max="16" width="13.28515625" style="5" customWidth="1"/>
    <col min="17" max="17" width="89" customWidth="1"/>
    <col min="18" max="18" width="71.42578125" customWidth="1"/>
    <col min="19" max="19" width="86.42578125" customWidth="1"/>
  </cols>
  <sheetData>
    <row r="1" spans="2:19"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 t="s">
        <v>141</v>
      </c>
      <c r="Q1" s="167"/>
      <c r="R1" s="167"/>
      <c r="S1" s="167"/>
    </row>
    <row r="2" spans="2:19"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" t="s">
        <v>199</v>
      </c>
      <c r="P2" s="1" t="s">
        <v>277</v>
      </c>
      <c r="Q2" s="1" t="s">
        <v>278</v>
      </c>
      <c r="R2" s="1" t="s">
        <v>145</v>
      </c>
      <c r="S2" s="1" t="s">
        <v>202</v>
      </c>
    </row>
    <row r="3" spans="2:19">
      <c r="B3" s="167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 t="s">
        <v>279</v>
      </c>
      <c r="P3" s="5" t="s">
        <v>280</v>
      </c>
      <c r="Q3" s="167" t="s">
        <v>205</v>
      </c>
      <c r="R3" s="167" t="s">
        <v>206</v>
      </c>
      <c r="S3" s="13" t="s">
        <v>207</v>
      </c>
    </row>
    <row r="4" spans="2:19" ht="29.1">
      <c r="B4" s="167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 t="s">
        <v>6</v>
      </c>
      <c r="P4" s="5" t="s">
        <v>281</v>
      </c>
      <c r="Q4" s="167" t="s">
        <v>282</v>
      </c>
      <c r="R4" s="105" t="s">
        <v>283</v>
      </c>
      <c r="S4" s="105" t="s">
        <v>284</v>
      </c>
    </row>
    <row r="5" spans="2:19" ht="29.1">
      <c r="B5" s="16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 t="s">
        <v>285</v>
      </c>
      <c r="P5" s="5" t="s">
        <v>286</v>
      </c>
      <c r="Q5" s="167" t="s">
        <v>287</v>
      </c>
      <c r="R5" s="167" t="s">
        <v>288</v>
      </c>
      <c r="S5" s="105" t="s">
        <v>284</v>
      </c>
    </row>
    <row r="6" spans="2:19">
      <c r="B6" s="129" t="s">
        <v>14</v>
      </c>
      <c r="C6" s="129" t="s">
        <v>6</v>
      </c>
      <c r="D6" s="129" t="s">
        <v>7</v>
      </c>
      <c r="E6" s="129" t="s">
        <v>8</v>
      </c>
      <c r="F6" s="123" t="s">
        <v>15</v>
      </c>
      <c r="G6" s="123" t="s">
        <v>3</v>
      </c>
      <c r="H6" s="129" t="s">
        <v>10</v>
      </c>
      <c r="I6" s="123" t="s">
        <v>289</v>
      </c>
      <c r="J6" s="123" t="s">
        <v>290</v>
      </c>
      <c r="K6" s="123" t="s">
        <v>16</v>
      </c>
      <c r="L6" s="123" t="s">
        <v>17</v>
      </c>
      <c r="M6" s="1"/>
      <c r="N6" s="167"/>
      <c r="O6" s="167" t="s">
        <v>291</v>
      </c>
      <c r="P6" s="5" t="s">
        <v>292</v>
      </c>
      <c r="Q6" s="167" t="s">
        <v>293</v>
      </c>
      <c r="R6" s="167" t="s">
        <v>294</v>
      </c>
      <c r="S6" s="13" t="s">
        <v>295</v>
      </c>
    </row>
    <row r="7" spans="2:19">
      <c r="B7" s="129" t="s">
        <v>20</v>
      </c>
      <c r="C7" s="130">
        <v>9.8800000000000008</v>
      </c>
      <c r="D7" s="124">
        <v>50</v>
      </c>
      <c r="E7" s="124">
        <v>7.51</v>
      </c>
      <c r="F7" s="124">
        <v>32</v>
      </c>
      <c r="G7" s="124">
        <f>'0_Model_Dashboard (old)'!$I$10</f>
        <v>0.69</v>
      </c>
      <c r="H7" s="124">
        <f>F7 * G7</f>
        <v>22.08</v>
      </c>
      <c r="I7" s="124">
        <v>3200</v>
      </c>
      <c r="J7" s="124">
        <v>3205</v>
      </c>
      <c r="K7" s="124">
        <v>16</v>
      </c>
      <c r="L7" s="124">
        <f>((MIN(K7, 8) * '0_Model_Dashboard (old)'!$I$9) + (MAX(K7-8, 0) * '0_Model_Dashboard (old)'!$I$8)) / K7</f>
        <v>0.17820000000000003</v>
      </c>
      <c r="M7" s="167"/>
      <c r="N7" s="167"/>
      <c r="O7" s="167" t="s">
        <v>9</v>
      </c>
      <c r="P7" s="5" t="s">
        <v>296</v>
      </c>
      <c r="Q7" s="167" t="s">
        <v>297</v>
      </c>
      <c r="R7" s="167" t="s">
        <v>298</v>
      </c>
      <c r="S7" s="167" t="s">
        <v>299</v>
      </c>
    </row>
    <row r="8" spans="2:19">
      <c r="B8" s="129" t="s">
        <v>21</v>
      </c>
      <c r="C8" s="124">
        <v>3.5</v>
      </c>
      <c r="D8" s="124">
        <v>45</v>
      </c>
      <c r="E8" s="124">
        <v>1.32</v>
      </c>
      <c r="F8" s="124">
        <v>19.75</v>
      </c>
      <c r="G8" s="124">
        <f>'0_Model_Dashboard (old)'!$I$10</f>
        <v>0.69</v>
      </c>
      <c r="H8" s="124">
        <f t="shared" ref="H8:H11" si="0">F8 * G8</f>
        <v>13.6275</v>
      </c>
      <c r="I8" s="124">
        <v>500</v>
      </c>
      <c r="J8" s="124">
        <v>999999</v>
      </c>
      <c r="K8" s="124">
        <v>16</v>
      </c>
      <c r="L8" s="124">
        <f>((MIN(K8, 8) * '0_Model_Dashboard (old)'!$I$9) + (MAX(K8-8, 0) * '0_Model_Dashboard (old)'!$I$8)) / K8</f>
        <v>0.17820000000000003</v>
      </c>
      <c r="M8" s="167"/>
      <c r="N8" s="167"/>
      <c r="O8" s="167" t="s">
        <v>3</v>
      </c>
      <c r="P8" s="5" t="s">
        <v>300</v>
      </c>
      <c r="Q8" s="4" t="s">
        <v>301</v>
      </c>
      <c r="R8" s="1" t="s">
        <v>302</v>
      </c>
      <c r="S8" s="13" t="s">
        <v>163</v>
      </c>
    </row>
    <row r="9" spans="2:19">
      <c r="B9" s="129" t="s">
        <v>22</v>
      </c>
      <c r="C9" s="124">
        <v>1.85</v>
      </c>
      <c r="D9" s="124">
        <v>30</v>
      </c>
      <c r="E9" s="124">
        <v>7.51</v>
      </c>
      <c r="F9" s="124">
        <v>46</v>
      </c>
      <c r="G9" s="124">
        <f>'0_Model_Dashboard (old)'!$I$10</f>
        <v>0.69</v>
      </c>
      <c r="H9" s="124">
        <f t="shared" si="0"/>
        <v>31.74</v>
      </c>
      <c r="I9" s="124">
        <v>0</v>
      </c>
      <c r="J9" s="124">
        <v>1000</v>
      </c>
      <c r="K9" s="124">
        <v>16</v>
      </c>
      <c r="L9" s="124">
        <f>((MIN(K9, 8) * '0_Model_Dashboard (old)'!$I$9) + (MAX(K9-8, 0) * '0_Model_Dashboard (old)'!$I$8)) / K9</f>
        <v>0.17820000000000003</v>
      </c>
      <c r="M9" s="167"/>
      <c r="N9" s="167"/>
      <c r="O9" s="167" t="s">
        <v>10</v>
      </c>
      <c r="P9" s="5" t="s">
        <v>303</v>
      </c>
      <c r="Q9" s="4" t="s">
        <v>304</v>
      </c>
      <c r="R9" s="1"/>
      <c r="S9" s="13"/>
    </row>
    <row r="10" spans="2:19">
      <c r="B10" s="129" t="s">
        <v>23</v>
      </c>
      <c r="C10" s="130">
        <v>3.5</v>
      </c>
      <c r="D10" s="130">
        <v>35</v>
      </c>
      <c r="E10" s="130">
        <v>1.32</v>
      </c>
      <c r="F10" s="124">
        <v>19.75</v>
      </c>
      <c r="G10" s="124">
        <f>'0_Model_Dashboard (old)'!$I$10</f>
        <v>0.69</v>
      </c>
      <c r="H10" s="124">
        <f t="shared" si="0"/>
        <v>13.6275</v>
      </c>
      <c r="I10" s="130">
        <v>0</v>
      </c>
      <c r="J10" s="130">
        <v>500</v>
      </c>
      <c r="K10" s="130">
        <v>10</v>
      </c>
      <c r="L10" s="124">
        <f>((MIN(K10, 8) * '0_Model_Dashboard (old)'!$I$9) + (MAX(K10-8, 0) * '0_Model_Dashboard (old)'!$I$8)) / K10</f>
        <v>0.16889999999999999</v>
      </c>
      <c r="M10" s="167"/>
      <c r="N10" s="167"/>
      <c r="O10" s="167" t="s">
        <v>305</v>
      </c>
      <c r="P10" s="5" t="s">
        <v>306</v>
      </c>
      <c r="Q10" s="167" t="s">
        <v>307</v>
      </c>
      <c r="R10" s="167" t="s">
        <v>308</v>
      </c>
      <c r="S10" s="13" t="s">
        <v>207</v>
      </c>
    </row>
    <row r="11" spans="2:19">
      <c r="B11" s="129" t="s">
        <v>24</v>
      </c>
      <c r="C11" s="130">
        <v>3.5</v>
      </c>
      <c r="D11" s="130">
        <v>35</v>
      </c>
      <c r="E11" s="130">
        <v>1.32</v>
      </c>
      <c r="F11" s="124">
        <v>19.75</v>
      </c>
      <c r="G11" s="124">
        <f>'0_Model_Dashboard (old)'!$I$10</f>
        <v>0.69</v>
      </c>
      <c r="H11" s="124">
        <f t="shared" si="0"/>
        <v>13.6275</v>
      </c>
      <c r="I11" s="124">
        <v>0</v>
      </c>
      <c r="J11" s="130">
        <v>500</v>
      </c>
      <c r="K11" s="130">
        <v>10</v>
      </c>
      <c r="L11" s="124">
        <f>((MIN(K11, 8) * '0_Model_Dashboard (old)'!$I$9) + (MAX(K11-8, 0) * '0_Model_Dashboard (old)'!$I$8)) / K11</f>
        <v>0.16889999999999999</v>
      </c>
      <c r="M11" s="167"/>
      <c r="N11" s="167"/>
      <c r="O11" s="167" t="s">
        <v>309</v>
      </c>
      <c r="P11" s="5" t="s">
        <v>310</v>
      </c>
      <c r="Q11" s="167" t="s">
        <v>311</v>
      </c>
      <c r="R11" s="167" t="s">
        <v>312</v>
      </c>
      <c r="S11" s="13" t="s">
        <v>261</v>
      </c>
    </row>
    <row r="12" spans="2:19">
      <c r="B12" s="167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 t="s">
        <v>313</v>
      </c>
      <c r="P12" s="5" t="s">
        <v>314</v>
      </c>
      <c r="Q12" s="167" t="s">
        <v>315</v>
      </c>
      <c r="R12" s="167" t="s">
        <v>316</v>
      </c>
      <c r="S12" s="167" t="s">
        <v>284</v>
      </c>
    </row>
    <row r="13" spans="2:19">
      <c r="B13" s="131" t="s">
        <v>14</v>
      </c>
      <c r="C13" s="131" t="s">
        <v>20</v>
      </c>
      <c r="D13" s="131" t="s">
        <v>21</v>
      </c>
      <c r="E13" s="131" t="s">
        <v>22</v>
      </c>
      <c r="F13" s="131" t="s">
        <v>23</v>
      </c>
      <c r="G13" s="131" t="s">
        <v>24</v>
      </c>
      <c r="H13" s="167"/>
      <c r="I13" s="167"/>
      <c r="J13" s="167"/>
      <c r="K13" s="167"/>
      <c r="L13" s="167"/>
      <c r="M13" s="167"/>
      <c r="N13" s="167"/>
      <c r="O13" s="167" t="s">
        <v>317</v>
      </c>
      <c r="P13" s="5" t="s">
        <v>318</v>
      </c>
      <c r="Q13" s="4" t="s">
        <v>319</v>
      </c>
      <c r="R13" s="1" t="s">
        <v>320</v>
      </c>
      <c r="S13" s="13" t="s">
        <v>150</v>
      </c>
    </row>
    <row r="14" spans="2:19">
      <c r="B14" s="131" t="s">
        <v>6</v>
      </c>
      <c r="C14" s="132">
        <v>9.8800000000000008</v>
      </c>
      <c r="D14" s="124">
        <v>3.5</v>
      </c>
      <c r="E14" s="124">
        <v>1.85</v>
      </c>
      <c r="F14" s="132">
        <v>3.5</v>
      </c>
      <c r="G14" s="132">
        <v>3.5</v>
      </c>
      <c r="H14" s="167"/>
      <c r="I14" s="167"/>
      <c r="J14" s="167"/>
      <c r="K14" s="167"/>
      <c r="L14" s="167"/>
      <c r="M14" s="167"/>
      <c r="N14" s="167"/>
      <c r="O14" s="167" t="s">
        <v>196</v>
      </c>
      <c r="P14" s="5" t="s">
        <v>321</v>
      </c>
      <c r="Q14" s="4" t="s">
        <v>322</v>
      </c>
      <c r="R14" s="167" t="s">
        <v>196</v>
      </c>
      <c r="S14" s="167" t="s">
        <v>323</v>
      </c>
    </row>
    <row r="15" spans="2:19">
      <c r="B15" s="131" t="s">
        <v>7</v>
      </c>
      <c r="C15" s="124">
        <v>50</v>
      </c>
      <c r="D15" s="124">
        <v>45</v>
      </c>
      <c r="E15" s="124">
        <v>30</v>
      </c>
      <c r="F15" s="132">
        <v>35</v>
      </c>
      <c r="G15" s="132">
        <v>35</v>
      </c>
      <c r="H15" s="167"/>
      <c r="I15" s="167"/>
      <c r="J15" s="167"/>
      <c r="K15" s="167"/>
      <c r="L15" s="167"/>
      <c r="M15" s="167"/>
      <c r="N15" s="167"/>
      <c r="O15" s="167"/>
      <c r="Q15" s="167"/>
      <c r="R15" s="167"/>
      <c r="S15" s="167"/>
    </row>
    <row r="16" spans="2:19">
      <c r="B16" s="131" t="s">
        <v>8</v>
      </c>
      <c r="C16" s="124">
        <v>7.51</v>
      </c>
      <c r="D16" s="124">
        <v>1.32</v>
      </c>
      <c r="E16" s="124">
        <v>7.51</v>
      </c>
      <c r="F16" s="132">
        <v>1.32</v>
      </c>
      <c r="G16" s="132">
        <v>1.32</v>
      </c>
      <c r="H16" s="167"/>
      <c r="I16" s="167"/>
      <c r="J16" s="167"/>
      <c r="K16" s="167"/>
      <c r="L16" s="167"/>
      <c r="M16" s="167"/>
      <c r="N16" s="167"/>
      <c r="O16" s="167"/>
      <c r="Q16" s="167"/>
      <c r="R16" s="167"/>
      <c r="S16" s="167"/>
    </row>
    <row r="17" spans="2:7">
      <c r="B17" s="123" t="s">
        <v>15</v>
      </c>
      <c r="C17" s="124">
        <v>32</v>
      </c>
      <c r="D17" s="124">
        <v>19.75</v>
      </c>
      <c r="E17" s="124">
        <v>46</v>
      </c>
      <c r="F17" s="124">
        <v>19.75</v>
      </c>
      <c r="G17" s="124">
        <v>19.75</v>
      </c>
    </row>
    <row r="18" spans="2:7">
      <c r="B18" s="123" t="s">
        <v>3</v>
      </c>
      <c r="C18" s="124">
        <f>'0_Model_Dashboard (old)'!$I$10</f>
        <v>0.69</v>
      </c>
      <c r="D18" s="124">
        <f>'0_Model_Dashboard (old)'!$I$10</f>
        <v>0.69</v>
      </c>
      <c r="E18" s="124">
        <f>'0_Model_Dashboard (old)'!$I$10</f>
        <v>0.69</v>
      </c>
      <c r="F18" s="124">
        <f>'0_Model_Dashboard (old)'!$I$10</f>
        <v>0.69</v>
      </c>
      <c r="G18" s="124">
        <f>'0_Model_Dashboard (old)'!$I$10</f>
        <v>0.69</v>
      </c>
    </row>
    <row r="19" spans="2:7">
      <c r="B19" s="131" t="s">
        <v>10</v>
      </c>
      <c r="C19" s="124">
        <f>C17 * C18</f>
        <v>22.08</v>
      </c>
      <c r="D19" s="124">
        <f>D17 * D18</f>
        <v>13.6275</v>
      </c>
      <c r="E19" s="124">
        <f>E17 * E18</f>
        <v>31.74</v>
      </c>
      <c r="F19" s="124">
        <f>F17 * F18</f>
        <v>13.6275</v>
      </c>
      <c r="G19" s="124">
        <f>G17 * G18</f>
        <v>13.6275</v>
      </c>
    </row>
    <row r="20" spans="2:7">
      <c r="B20" s="123" t="s">
        <v>289</v>
      </c>
      <c r="C20" s="124">
        <v>3200</v>
      </c>
      <c r="D20" s="124">
        <v>500</v>
      </c>
      <c r="E20" s="124">
        <v>0</v>
      </c>
      <c r="F20" s="132">
        <v>0</v>
      </c>
      <c r="G20" s="124">
        <v>0</v>
      </c>
    </row>
    <row r="21" spans="2:7">
      <c r="B21" s="123" t="s">
        <v>290</v>
      </c>
      <c r="C21" s="124">
        <v>3205</v>
      </c>
      <c r="D21" s="124">
        <v>999999</v>
      </c>
      <c r="E21" s="124">
        <v>1000</v>
      </c>
      <c r="F21" s="132">
        <v>500</v>
      </c>
      <c r="G21" s="132">
        <v>500</v>
      </c>
    </row>
    <row r="22" spans="2:7">
      <c r="B22" s="123" t="s">
        <v>16</v>
      </c>
      <c r="C22" s="124">
        <v>16</v>
      </c>
      <c r="D22" s="124">
        <v>16</v>
      </c>
      <c r="E22" s="124">
        <v>16</v>
      </c>
      <c r="F22" s="132">
        <v>10</v>
      </c>
      <c r="G22" s="132">
        <v>10</v>
      </c>
    </row>
    <row r="23" spans="2:7">
      <c r="B23" s="123" t="s">
        <v>17</v>
      </c>
      <c r="C23" s="124">
        <f>((MIN(C22, 8) * '0_Model_Dashboard (old)'!$I$9) + (MAX(C22-8, 0) * '0_Model_Dashboard (old)'!$I$8)) / C22</f>
        <v>0.17820000000000003</v>
      </c>
      <c r="D23" s="124">
        <f>((MIN(D22, 8) * '0_Model_Dashboard (old)'!$I$9) + (MAX(D22-8, 0) * '0_Model_Dashboard (old)'!$I$8)) / D22</f>
        <v>0.17820000000000003</v>
      </c>
      <c r="E23" s="124">
        <f>((MIN(E22, 8) * '0_Model_Dashboard (old)'!$I$9) + (MAX(E22-8, 0) * '0_Model_Dashboard (old)'!$I$8)) / E22</f>
        <v>0.17820000000000003</v>
      </c>
      <c r="F23" s="124">
        <f>((MIN(F22, 8) * '0_Model_Dashboard (old)'!$I$9) + (MAX(F22-8, 0) * '0_Model_Dashboard (old)'!$I$8)) / F22</f>
        <v>0.16889999999999999</v>
      </c>
      <c r="G23" s="124">
        <f>((MIN(G22, 8) * '0_Model_Dashboard (old)'!$I$9) + (MAX(G22-8, 0) * '0_Model_Dashboard (old)'!$I$8)) / G22</f>
        <v>0.16889999999999999</v>
      </c>
    </row>
    <row r="24" spans="2:7">
      <c r="B24" s="123" t="s">
        <v>18</v>
      </c>
      <c r="C24" s="219">
        <v>3.2399999999999998E-3</v>
      </c>
      <c r="D24" s="219"/>
      <c r="E24" s="219"/>
      <c r="F24" s="219"/>
      <c r="G24" s="219"/>
    </row>
    <row r="25" spans="2:7">
      <c r="B25" s="123" t="s">
        <v>12</v>
      </c>
      <c r="C25" s="124">
        <v>20.5</v>
      </c>
      <c r="D25" s="124">
        <v>15.7</v>
      </c>
      <c r="E25" s="124">
        <v>22.5</v>
      </c>
      <c r="F25" s="124">
        <v>28.3</v>
      </c>
      <c r="G25" s="124">
        <v>14.5</v>
      </c>
    </row>
    <row r="26" spans="2:7">
      <c r="B26" s="167" t="s">
        <v>324</v>
      </c>
      <c r="C26" s="167">
        <f>C25*C14</f>
        <v>202.54000000000002</v>
      </c>
      <c r="D26" s="167">
        <f t="shared" ref="D26:G26" si="1">D25*D14</f>
        <v>54.949999999999996</v>
      </c>
      <c r="E26" s="167">
        <f t="shared" si="1"/>
        <v>41.625</v>
      </c>
      <c r="F26" s="167">
        <f t="shared" si="1"/>
        <v>99.05</v>
      </c>
      <c r="G26" s="167">
        <f t="shared" si="1"/>
        <v>50.75</v>
      </c>
    </row>
  </sheetData>
  <mergeCells count="1">
    <mergeCell ref="C24:G24"/>
  </mergeCells>
  <hyperlinks>
    <hyperlink ref="S3" r:id="rId1" xr:uid="{AA78921C-C8FC-4E20-9262-DD77AA9281E7}"/>
    <hyperlink ref="S6" r:id="rId2" xr:uid="{EF2C1F91-0691-4D54-8087-ED12FA041B8A}"/>
    <hyperlink ref="S10" r:id="rId3" xr:uid="{E70B8142-4B8A-4C36-9DB0-27865AE6FB92}"/>
    <hyperlink ref="S11" r:id="rId4" xr:uid="{BEFC47C4-6EC9-45DB-876B-8E19EC9C5D48}"/>
    <hyperlink ref="S13" r:id="rId5" xr:uid="{8096F5C1-AD5F-4C33-B1A2-B858F82F77F5}"/>
    <hyperlink ref="S8" r:id="rId6" xr:uid="{6FF671B5-D1B9-4D01-A9D2-7FC6013458CC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DF18C-4B44-437F-9ED8-355319EEAC3A}">
  <sheetPr codeName="Sheet8"/>
  <dimension ref="A1:H25"/>
  <sheetViews>
    <sheetView showGridLines="0" topLeftCell="A4" workbookViewId="0">
      <selection activeCell="J9" sqref="J9"/>
    </sheetView>
  </sheetViews>
  <sheetFormatPr defaultColWidth="8.85546875" defaultRowHeight="14.45"/>
  <cols>
    <col min="1" max="1" width="2.140625" customWidth="1"/>
    <col min="2" max="2" width="6" bestFit="1" customWidth="1"/>
    <col min="3" max="3" width="51.42578125" bestFit="1" customWidth="1"/>
    <col min="4" max="5" width="11.7109375" bestFit="1" customWidth="1"/>
    <col min="6" max="6" width="10.7109375" bestFit="1" customWidth="1"/>
    <col min="7" max="8" width="11.7109375" bestFit="1" customWidth="1"/>
  </cols>
  <sheetData>
    <row r="1" spans="1:8">
      <c r="A1" s="1" t="s">
        <v>325</v>
      </c>
      <c r="B1" s="167"/>
      <c r="C1" s="167"/>
      <c r="D1" s="167"/>
      <c r="E1" s="167"/>
      <c r="F1" s="167"/>
      <c r="G1" s="167"/>
      <c r="H1" s="167"/>
    </row>
    <row r="2" spans="1:8">
      <c r="A2" s="1" t="s">
        <v>326</v>
      </c>
      <c r="B2" s="167"/>
      <c r="C2" s="167"/>
      <c r="D2" s="167"/>
      <c r="E2" s="167"/>
      <c r="F2" s="167"/>
      <c r="G2" s="167"/>
      <c r="H2" s="167"/>
    </row>
    <row r="3" spans="1:8">
      <c r="A3" s="1" t="s">
        <v>327</v>
      </c>
      <c r="B3" s="167"/>
      <c r="C3" s="167"/>
      <c r="D3" s="167"/>
      <c r="E3" s="167"/>
      <c r="F3" s="167"/>
      <c r="G3" s="167"/>
      <c r="H3" s="167"/>
    </row>
    <row r="6" spans="1:8" ht="15" thickBot="1">
      <c r="A6" s="167" t="s">
        <v>328</v>
      </c>
      <c r="B6" s="167"/>
      <c r="C6" s="167"/>
      <c r="D6" s="167"/>
      <c r="E6" s="167"/>
      <c r="F6" s="167"/>
      <c r="G6" s="167"/>
      <c r="H6" s="167"/>
    </row>
    <row r="7" spans="1:8">
      <c r="A7" s="167"/>
      <c r="B7" s="9"/>
      <c r="C7" s="9"/>
      <c r="D7" s="9" t="s">
        <v>329</v>
      </c>
      <c r="E7" s="9" t="s">
        <v>330</v>
      </c>
      <c r="F7" s="9" t="s">
        <v>331</v>
      </c>
      <c r="G7" s="9" t="s">
        <v>332</v>
      </c>
      <c r="H7" s="9" t="s">
        <v>332</v>
      </c>
    </row>
    <row r="8" spans="1:8" ht="15" thickBot="1">
      <c r="A8" s="167"/>
      <c r="B8" s="10" t="s">
        <v>143</v>
      </c>
      <c r="C8" s="10" t="s">
        <v>333</v>
      </c>
      <c r="D8" s="10" t="s">
        <v>144</v>
      </c>
      <c r="E8" s="10" t="s">
        <v>334</v>
      </c>
      <c r="F8" s="10" t="s">
        <v>335</v>
      </c>
      <c r="G8" s="10" t="s">
        <v>336</v>
      </c>
      <c r="H8" s="10" t="s">
        <v>337</v>
      </c>
    </row>
    <row r="9" spans="1:8">
      <c r="A9" s="167"/>
      <c r="B9" s="8" t="s">
        <v>338</v>
      </c>
      <c r="C9" s="8" t="s">
        <v>339</v>
      </c>
      <c r="D9" s="8">
        <v>324.39271255060726</v>
      </c>
      <c r="E9" s="8">
        <v>0</v>
      </c>
      <c r="F9" s="8">
        <v>197.00374199999999</v>
      </c>
      <c r="G9" s="8">
        <v>1E+30</v>
      </c>
      <c r="H9" s="8">
        <v>150.38995799999995</v>
      </c>
    </row>
    <row r="10" spans="1:8">
      <c r="A10" s="167"/>
      <c r="B10" s="8" t="s">
        <v>340</v>
      </c>
      <c r="C10" s="8" t="s">
        <v>341</v>
      </c>
      <c r="D10" s="8">
        <v>0</v>
      </c>
      <c r="E10" s="8">
        <v>-0.23423400000001493</v>
      </c>
      <c r="F10" s="8">
        <v>46.379549999999995</v>
      </c>
      <c r="G10" s="8">
        <v>0.23423400000001493</v>
      </c>
      <c r="H10" s="8">
        <v>1E+30</v>
      </c>
    </row>
    <row r="11" spans="1:8">
      <c r="A11" s="167"/>
      <c r="B11" s="8" t="s">
        <v>342</v>
      </c>
      <c r="C11" s="8" t="s">
        <v>343</v>
      </c>
      <c r="D11" s="8">
        <v>540.54054054054041</v>
      </c>
      <c r="E11" s="8">
        <v>0</v>
      </c>
      <c r="F11" s="8">
        <v>54.759352499999977</v>
      </c>
      <c r="G11" s="8">
        <v>1E+30</v>
      </c>
      <c r="H11" s="8">
        <v>8.1455684999999907</v>
      </c>
    </row>
    <row r="12" spans="1:8">
      <c r="A12" s="167"/>
      <c r="B12" s="8" t="s">
        <v>344</v>
      </c>
      <c r="C12" s="8" t="s">
        <v>345</v>
      </c>
      <c r="D12" s="8">
        <v>135.06674690885231</v>
      </c>
      <c r="E12" s="8">
        <v>0</v>
      </c>
      <c r="F12" s="8">
        <v>46.61378400000001</v>
      </c>
      <c r="G12" s="8">
        <v>8.1455684999999889</v>
      </c>
      <c r="H12" s="8">
        <v>0</v>
      </c>
    </row>
    <row r="13" spans="1:8" ht="15" thickBot="1">
      <c r="A13" s="167"/>
      <c r="B13" s="7" t="s">
        <v>346</v>
      </c>
      <c r="C13" s="7" t="s">
        <v>347</v>
      </c>
      <c r="D13" s="7">
        <v>0</v>
      </c>
      <c r="E13" s="7">
        <v>0</v>
      </c>
      <c r="F13" s="7">
        <v>46.61378400000001</v>
      </c>
      <c r="G13" s="7">
        <v>0</v>
      </c>
      <c r="H13" s="7">
        <v>1E+30</v>
      </c>
    </row>
    <row r="15" spans="1:8" ht="15" thickBot="1">
      <c r="A15" s="167" t="s">
        <v>348</v>
      </c>
      <c r="B15" s="167"/>
      <c r="C15" s="167"/>
      <c r="D15" s="167"/>
      <c r="E15" s="167"/>
      <c r="F15" s="167"/>
      <c r="G15" s="167"/>
      <c r="H15" s="167"/>
    </row>
    <row r="16" spans="1:8">
      <c r="A16" s="167"/>
      <c r="B16" s="9"/>
      <c r="C16" s="9"/>
      <c r="D16" s="9" t="s">
        <v>329</v>
      </c>
      <c r="E16" s="9" t="s">
        <v>349</v>
      </c>
      <c r="F16" s="9" t="s">
        <v>350</v>
      </c>
      <c r="G16" s="9" t="s">
        <v>332</v>
      </c>
      <c r="H16" s="9" t="s">
        <v>332</v>
      </c>
    </row>
    <row r="17" spans="2:8" ht="15" thickBot="1">
      <c r="B17" s="10" t="s">
        <v>143</v>
      </c>
      <c r="C17" s="10" t="s">
        <v>333</v>
      </c>
      <c r="D17" s="10" t="s">
        <v>144</v>
      </c>
      <c r="E17" s="10" t="s">
        <v>351</v>
      </c>
      <c r="F17" s="10" t="s">
        <v>352</v>
      </c>
      <c r="G17" s="10" t="s">
        <v>336</v>
      </c>
      <c r="H17" s="10" t="s">
        <v>337</v>
      </c>
    </row>
    <row r="18" spans="2:8">
      <c r="B18" s="8" t="s">
        <v>353</v>
      </c>
      <c r="C18" s="8" t="s">
        <v>354</v>
      </c>
      <c r="D18" s="8">
        <v>1403.3200842542949</v>
      </c>
      <c r="E18" s="8">
        <v>0</v>
      </c>
      <c r="F18" s="8">
        <v>0</v>
      </c>
      <c r="G18" s="8">
        <v>1E+30</v>
      </c>
      <c r="H18" s="8">
        <v>1801.6799157457051</v>
      </c>
    </row>
    <row r="19" spans="2:8">
      <c r="B19" s="8" t="s">
        <v>355</v>
      </c>
      <c r="C19" s="8" t="s">
        <v>356</v>
      </c>
      <c r="D19" s="8">
        <v>1801.6799157457051</v>
      </c>
      <c r="E19" s="8">
        <v>0</v>
      </c>
      <c r="F19" s="8">
        <v>0</v>
      </c>
      <c r="G19" s="8">
        <v>1801.6799157457051</v>
      </c>
      <c r="H19" s="8">
        <v>1E+30</v>
      </c>
    </row>
    <row r="20" spans="2:8">
      <c r="B20" s="8" t="s">
        <v>357</v>
      </c>
      <c r="C20" s="8" t="s">
        <v>358</v>
      </c>
      <c r="D20" s="8">
        <v>3205</v>
      </c>
      <c r="E20" s="8">
        <v>15.221655668016194</v>
      </c>
      <c r="F20" s="8">
        <v>3205</v>
      </c>
      <c r="G20" s="8">
        <v>1334.4594594594605</v>
      </c>
      <c r="H20" s="8">
        <v>76.9691119691106</v>
      </c>
    </row>
    <row r="21" spans="2:8">
      <c r="B21" s="8" t="s">
        <v>36</v>
      </c>
      <c r="C21" s="8" t="s">
        <v>359</v>
      </c>
      <c r="D21" s="8">
        <v>0</v>
      </c>
      <c r="E21" s="8">
        <v>0</v>
      </c>
      <c r="F21" s="8">
        <v>999999</v>
      </c>
      <c r="G21" s="8">
        <v>1E+30</v>
      </c>
      <c r="H21" s="8">
        <v>999999</v>
      </c>
    </row>
    <row r="22" spans="2:8">
      <c r="B22" s="8" t="s">
        <v>360</v>
      </c>
      <c r="C22" s="8" t="s">
        <v>361</v>
      </c>
      <c r="D22" s="8">
        <v>999.99999999999977</v>
      </c>
      <c r="E22" s="8">
        <v>4.4030099999999948</v>
      </c>
      <c r="F22" s="8">
        <v>1000</v>
      </c>
      <c r="G22" s="8">
        <v>249.87348178137671</v>
      </c>
      <c r="H22" s="8">
        <v>14.412232504337512</v>
      </c>
    </row>
    <row r="23" spans="2:8">
      <c r="B23" s="8" t="s">
        <v>362</v>
      </c>
      <c r="C23" s="8" t="s">
        <v>363</v>
      </c>
      <c r="D23" s="8">
        <v>472.73361418098307</v>
      </c>
      <c r="E23" s="8">
        <v>0</v>
      </c>
      <c r="F23" s="8">
        <v>500</v>
      </c>
      <c r="G23" s="8">
        <v>1E+30</v>
      </c>
      <c r="H23" s="8">
        <v>27.266385819016921</v>
      </c>
    </row>
    <row r="24" spans="2:8">
      <c r="B24" s="8" t="s">
        <v>364</v>
      </c>
      <c r="C24" s="8" t="s">
        <v>365</v>
      </c>
      <c r="D24" s="8">
        <v>0</v>
      </c>
      <c r="E24" s="8">
        <v>0</v>
      </c>
      <c r="F24" s="8">
        <v>500</v>
      </c>
      <c r="G24" s="8">
        <v>1E+30</v>
      </c>
      <c r="H24" s="8">
        <v>500</v>
      </c>
    </row>
    <row r="25" spans="2:8" ht="15" thickBot="1">
      <c r="B25" s="7" t="s">
        <v>366</v>
      </c>
      <c r="C25" s="7" t="s">
        <v>367</v>
      </c>
      <c r="D25" s="7">
        <v>1000</v>
      </c>
      <c r="E25" s="7">
        <v>46.61378400000001</v>
      </c>
      <c r="F25" s="7">
        <v>1000</v>
      </c>
      <c r="G25" s="7">
        <v>7.7903959482905458</v>
      </c>
      <c r="H25" s="7">
        <v>135.06674690885228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569FE-F5CC-4A63-A410-A0A70ECB5442}">
  <sheetPr codeName="Sheet1">
    <tabColor rgb="FF1A3C34"/>
  </sheetPr>
  <dimension ref="A1:AE30"/>
  <sheetViews>
    <sheetView showGridLines="0" topLeftCell="A10" zoomScale="54" zoomScaleNormal="100" workbookViewId="0">
      <selection activeCell="I9" sqref="I9"/>
    </sheetView>
  </sheetViews>
  <sheetFormatPr defaultColWidth="8.7109375" defaultRowHeight="14.45"/>
  <cols>
    <col min="1" max="1" width="2" style="19" customWidth="1"/>
    <col min="2" max="5" width="14" style="19" customWidth="1"/>
    <col min="6" max="7" width="2" style="19" customWidth="1"/>
    <col min="8" max="8" width="28" style="19" customWidth="1"/>
    <col min="9" max="9" width="16" style="19" customWidth="1"/>
    <col min="10" max="10" width="14" style="19" customWidth="1"/>
    <col min="11" max="11" width="16" style="19" customWidth="1"/>
    <col min="12" max="12" width="11.42578125" style="19" bestFit="1" customWidth="1"/>
    <col min="13" max="13" width="2" style="19" customWidth="1"/>
    <col min="14" max="14" width="22" style="19" customWidth="1"/>
    <col min="15" max="15" width="12" style="19" customWidth="1"/>
    <col min="16" max="16" width="28" style="19" customWidth="1"/>
    <col min="17" max="18" width="40" style="19" customWidth="1"/>
    <col min="19" max="24" width="8.7109375" style="19"/>
    <col min="25" max="25" width="24" style="19" customWidth="1"/>
    <col min="26" max="26" width="12" style="19" customWidth="1"/>
    <col min="27" max="29" width="8.7109375" style="19"/>
    <col min="30" max="30" width="24" style="19" customWidth="1"/>
    <col min="31" max="31" width="16" style="19" customWidth="1"/>
    <col min="32" max="16384" width="8.7109375" style="19"/>
  </cols>
  <sheetData>
    <row r="1" spans="1:31" ht="13.5" customHeight="1">
      <c r="A1" s="221" t="s">
        <v>368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AD1" s="20" t="s">
        <v>187</v>
      </c>
      <c r="AE1" s="20" t="s">
        <v>369</v>
      </c>
    </row>
    <row r="2" spans="1:31" ht="13.5" customHeight="1">
      <c r="A2" s="221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AD2" s="21" t="s">
        <v>188</v>
      </c>
      <c r="AE2" s="22">
        <f>SUM('[1]1_Optimization_Engine'!E3:E7)</f>
        <v>91066.271584008107</v>
      </c>
    </row>
    <row r="3" spans="1:31" ht="13.5" customHeight="1">
      <c r="A3" s="221"/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1"/>
      <c r="AD3" s="21" t="s">
        <v>370</v>
      </c>
      <c r="AE3" s="22">
        <f>-SUM('[1]1_Optimization_Engine'!F3:F7)</f>
        <v>-9876.2679167341448</v>
      </c>
    </row>
    <row r="4" spans="1:31" ht="15.75" customHeight="1">
      <c r="A4" s="222" t="s">
        <v>371</v>
      </c>
      <c r="B4" s="222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AD4" s="21" t="s">
        <v>27</v>
      </c>
      <c r="AE4" s="22">
        <f>'[1]1_Optimization_Engine'!C13</f>
        <v>81190.003667273966</v>
      </c>
    </row>
    <row r="5" spans="1:31" ht="7.5" customHeight="1"/>
    <row r="6" spans="1:31" ht="27.75" customHeight="1">
      <c r="H6" s="220" t="s">
        <v>372</v>
      </c>
      <c r="I6" s="220"/>
      <c r="J6" s="220"/>
      <c r="N6" s="23" t="s">
        <v>142</v>
      </c>
      <c r="O6" s="23" t="s">
        <v>143</v>
      </c>
      <c r="P6" s="23" t="s">
        <v>144</v>
      </c>
      <c r="Q6" s="23" t="s">
        <v>145</v>
      </c>
      <c r="R6" s="23" t="s">
        <v>146</v>
      </c>
    </row>
    <row r="7" spans="1:31" ht="39.75" customHeight="1" thickBot="1">
      <c r="N7" s="24" t="s">
        <v>121</v>
      </c>
      <c r="O7" s="25" t="s">
        <v>147</v>
      </c>
      <c r="P7" s="24" t="s">
        <v>373</v>
      </c>
      <c r="Q7" s="24" t="s">
        <v>374</v>
      </c>
      <c r="R7" s="26" t="s">
        <v>375</v>
      </c>
    </row>
    <row r="8" spans="1:31" ht="39.75" customHeight="1" thickBot="1">
      <c r="H8" s="27" t="s">
        <v>1</v>
      </c>
      <c r="I8" s="28">
        <f>$Z$8/10000</f>
        <v>0.36849999999999999</v>
      </c>
      <c r="N8" s="29" t="s">
        <v>123</v>
      </c>
      <c r="O8" s="30" t="s">
        <v>151</v>
      </c>
      <c r="P8" s="29" t="s">
        <v>376</v>
      </c>
      <c r="Q8" s="29" t="s">
        <v>377</v>
      </c>
      <c r="R8" s="31" t="s">
        <v>154</v>
      </c>
      <c r="Y8" s="32" t="s">
        <v>378</v>
      </c>
      <c r="Z8" s="33">
        <v>3685</v>
      </c>
    </row>
    <row r="9" spans="1:31" ht="39.75" customHeight="1" thickBot="1">
      <c r="H9" s="27" t="s">
        <v>2</v>
      </c>
      <c r="I9" s="28">
        <f>$Z$9/10000</f>
        <v>0.20050000000000001</v>
      </c>
      <c r="N9" s="24" t="s">
        <v>379</v>
      </c>
      <c r="O9" s="25" t="s">
        <v>156</v>
      </c>
      <c r="P9" s="24" t="s">
        <v>157</v>
      </c>
      <c r="Q9" s="24" t="s">
        <v>380</v>
      </c>
      <c r="R9" s="24" t="s">
        <v>381</v>
      </c>
      <c r="Y9" s="32" t="s">
        <v>382</v>
      </c>
      <c r="Z9" s="33">
        <v>2005</v>
      </c>
    </row>
    <row r="10" spans="1:31" ht="39.75" customHeight="1" thickBot="1">
      <c r="H10" s="27" t="s">
        <v>3</v>
      </c>
      <c r="I10" s="34">
        <v>0.69</v>
      </c>
      <c r="N10" s="29" t="s">
        <v>3</v>
      </c>
      <c r="O10" s="30" t="s">
        <v>160</v>
      </c>
      <c r="P10" s="29" t="s">
        <v>383</v>
      </c>
      <c r="Q10" s="29" t="s">
        <v>162</v>
      </c>
      <c r="R10" s="31" t="s">
        <v>384</v>
      </c>
    </row>
    <row r="11" spans="1:31" ht="39.75" customHeight="1" thickBot="1">
      <c r="H11" s="27" t="s">
        <v>4</v>
      </c>
      <c r="I11" s="35">
        <v>1000</v>
      </c>
      <c r="N11" s="24" t="s">
        <v>165</v>
      </c>
      <c r="O11" s="25" t="s">
        <v>166</v>
      </c>
      <c r="P11" s="24" t="s">
        <v>385</v>
      </c>
      <c r="Q11" s="24" t="s">
        <v>386</v>
      </c>
      <c r="R11" s="24" t="s">
        <v>387</v>
      </c>
      <c r="Y11" s="32" t="s">
        <v>388</v>
      </c>
      <c r="Z11" s="36">
        <f>IFERROR(MIN(1,('[1]1_Optimization_Engine'!D3+'[1]1_Optimization_Engine'!D4)/'[1]1_Optimization_Engine'!C12),0)</f>
        <v>1</v>
      </c>
    </row>
    <row r="12" spans="1:31" ht="39.75" customHeight="1">
      <c r="H12" s="223" t="s">
        <v>389</v>
      </c>
      <c r="I12" s="223"/>
      <c r="J12" s="223"/>
      <c r="N12" s="29" t="s">
        <v>171</v>
      </c>
      <c r="O12" s="30" t="s">
        <v>172</v>
      </c>
      <c r="P12" s="29" t="s">
        <v>390</v>
      </c>
      <c r="Q12" s="29" t="s">
        <v>391</v>
      </c>
      <c r="R12" s="29" t="s">
        <v>392</v>
      </c>
      <c r="Y12" s="32" t="s">
        <v>393</v>
      </c>
      <c r="Z12" s="36">
        <f>1-Z11</f>
        <v>0</v>
      </c>
    </row>
    <row r="13" spans="1:31" ht="39.75" customHeight="1">
      <c r="H13" s="223"/>
      <c r="I13" s="223"/>
      <c r="J13" s="223"/>
      <c r="N13" s="24" t="s">
        <v>394</v>
      </c>
      <c r="O13" s="25" t="s">
        <v>178</v>
      </c>
      <c r="P13" s="24" t="s">
        <v>395</v>
      </c>
      <c r="Q13" s="24" t="s">
        <v>396</v>
      </c>
      <c r="R13" s="24" t="s">
        <v>216</v>
      </c>
      <c r="Y13" s="32" t="s">
        <v>397</v>
      </c>
      <c r="Z13" s="37" t="str">
        <f>IFERROR(TEXT(('[1]1_Optimization_Engine'!D3+'[1]1_Optimization_Engine'!D4)/'[1]1_Optimization_Engine'!C12,"0%")&amp;" Compliant","0% Compliant")</f>
        <v>250% Compliant</v>
      </c>
    </row>
    <row r="14" spans="1:31" ht="39.75" customHeight="1" thickBot="1">
      <c r="N14" s="29" t="s">
        <v>398</v>
      </c>
      <c r="O14" s="30" t="s">
        <v>181</v>
      </c>
      <c r="P14" s="29" t="s">
        <v>399</v>
      </c>
      <c r="Q14" s="29" t="s">
        <v>400</v>
      </c>
      <c r="R14" s="29" t="s">
        <v>216</v>
      </c>
    </row>
    <row r="15" spans="1:31" ht="39.75" customHeight="1" thickBot="1">
      <c r="H15" s="224" t="e">
        <f>"STRATEGIC INSIGHT: The farm is currently space-constrained. Every additional m² of shelf area added to the facility would increase cycle profit by "&amp;TEXT('[1]1_Optimization_Engine'!C28,"S$#,##0.00")&amp;". We recommend prioritising vertical expansion to unlock additional margin."</f>
        <v>#VALUE!</v>
      </c>
      <c r="I15" s="224"/>
      <c r="J15" s="224"/>
      <c r="K15" s="224"/>
      <c r="N15" s="24" t="s">
        <v>401</v>
      </c>
      <c r="O15" s="25" t="s">
        <v>185</v>
      </c>
      <c r="P15" s="24" t="s">
        <v>402</v>
      </c>
      <c r="Q15" s="24" t="s">
        <v>403</v>
      </c>
      <c r="R15" s="24" t="s">
        <v>216</v>
      </c>
    </row>
    <row r="16" spans="1:31" ht="18" customHeight="1" thickBot="1">
      <c r="H16" s="224"/>
      <c r="I16" s="224"/>
      <c r="J16" s="224"/>
      <c r="K16" s="224"/>
    </row>
    <row r="17" spans="2:12" ht="18" customHeight="1" thickBot="1">
      <c r="H17" s="224"/>
      <c r="I17" s="224"/>
      <c r="J17" s="224"/>
      <c r="K17" s="224"/>
    </row>
    <row r="18" spans="2:12" ht="18" customHeight="1" thickBot="1">
      <c r="H18" s="224"/>
      <c r="I18" s="224"/>
      <c r="J18" s="224"/>
      <c r="K18" s="224"/>
    </row>
    <row r="19" spans="2:12" ht="18" customHeight="1" thickBot="1">
      <c r="H19" s="224"/>
      <c r="I19" s="224"/>
      <c r="J19" s="224"/>
      <c r="K19" s="224"/>
    </row>
    <row r="20" spans="2:12" ht="18" customHeight="1">
      <c r="H20" s="224"/>
      <c r="I20" s="224"/>
      <c r="J20" s="224"/>
      <c r="K20" s="224"/>
    </row>
    <row r="21" spans="2:12" ht="24" customHeight="1">
      <c r="B21" s="225" t="str">
        <f>Z13</f>
        <v>250% Compliant</v>
      </c>
      <c r="C21" s="225"/>
      <c r="D21" s="225"/>
      <c r="E21" s="225"/>
    </row>
    <row r="22" spans="2:12" ht="24" customHeight="1">
      <c r="B22" s="225"/>
      <c r="C22" s="225"/>
      <c r="D22" s="225"/>
      <c r="E22" s="225"/>
    </row>
    <row r="23" spans="2:12" ht="21.75" customHeight="1">
      <c r="H23" s="220" t="s">
        <v>404</v>
      </c>
      <c r="I23" s="220"/>
      <c r="J23" s="220"/>
      <c r="K23" s="220"/>
      <c r="L23" s="220"/>
    </row>
    <row r="24" spans="2:12" ht="21.75" customHeight="1">
      <c r="H24" s="38" t="s">
        <v>14</v>
      </c>
      <c r="I24" s="38" t="s">
        <v>405</v>
      </c>
      <c r="J24" s="38" t="s">
        <v>406</v>
      </c>
      <c r="K24" s="38" t="s">
        <v>407</v>
      </c>
      <c r="L24" s="38" t="s">
        <v>408</v>
      </c>
    </row>
    <row r="25" spans="2:12" ht="19.5" customHeight="1">
      <c r="H25" s="39" t="s">
        <v>20</v>
      </c>
      <c r="I25" s="40">
        <f>'[1]1_Optimization_Engine'!B3</f>
        <v>432.5236167341431</v>
      </c>
      <c r="J25" s="40">
        <f>'[1]1_Optimization_Engine'!D3</f>
        <v>3205.0000000000005</v>
      </c>
      <c r="K25" s="41">
        <f>'[1]1_Optimization_Engine'!E3</f>
        <v>70766.400000000009</v>
      </c>
      <c r="L25" s="41">
        <f>'[1]1_Optimization_Engine'!G3</f>
        <v>61636.017366666674</v>
      </c>
    </row>
    <row r="26" spans="2:12" ht="19.5" customHeight="1">
      <c r="H26" s="42" t="s">
        <v>21</v>
      </c>
      <c r="I26" s="43">
        <f>'[1]1_Optimization_Engine'!B4</f>
        <v>567.47638326585695</v>
      </c>
      <c r="J26" s="43">
        <f>'[1]1_Optimization_Engine'!D4</f>
        <v>1489.6255060728745</v>
      </c>
      <c r="K26" s="44">
        <f>'[1]1_Optimization_Engine'!E4</f>
        <v>20299.871584008095</v>
      </c>
      <c r="L26" s="44">
        <f>'[1]1_Optimization_Engine'!G4</f>
        <v>19553.986300607285</v>
      </c>
    </row>
    <row r="27" spans="2:12" ht="19.5" customHeight="1">
      <c r="H27" s="39" t="s">
        <v>22</v>
      </c>
      <c r="I27" s="40">
        <f>'[1]1_Optimization_Engine'!B5</f>
        <v>0</v>
      </c>
      <c r="J27" s="40">
        <f>'[1]1_Optimization_Engine'!D5</f>
        <v>0</v>
      </c>
      <c r="K27" s="41">
        <f>'[1]1_Optimization_Engine'!E5</f>
        <v>0</v>
      </c>
      <c r="L27" s="41">
        <f>'[1]1_Optimization_Engine'!G5</f>
        <v>0</v>
      </c>
    </row>
    <row r="28" spans="2:12" ht="19.5" customHeight="1">
      <c r="H28" s="42" t="s">
        <v>23</v>
      </c>
      <c r="I28" s="43">
        <f>'[1]1_Optimization_Engine'!B6</f>
        <v>0</v>
      </c>
      <c r="J28" s="43">
        <f>'[1]1_Optimization_Engine'!D6</f>
        <v>0</v>
      </c>
      <c r="K28" s="44">
        <f>'[1]1_Optimization_Engine'!E6</f>
        <v>0</v>
      </c>
      <c r="L28" s="44">
        <f>'[1]1_Optimization_Engine'!G6</f>
        <v>0</v>
      </c>
    </row>
    <row r="29" spans="2:12" ht="19.5" customHeight="1" thickBot="1">
      <c r="H29" s="39" t="s">
        <v>24</v>
      </c>
      <c r="I29" s="40">
        <f>'[1]1_Optimization_Engine'!B7</f>
        <v>0</v>
      </c>
      <c r="J29" s="40">
        <f>'[1]1_Optimization_Engine'!D7</f>
        <v>0</v>
      </c>
      <c r="K29" s="41">
        <f>'[1]1_Optimization_Engine'!E7</f>
        <v>0</v>
      </c>
      <c r="L29" s="41">
        <f>'[1]1_Optimization_Engine'!G7</f>
        <v>0</v>
      </c>
    </row>
    <row r="30" spans="2:12" ht="21.75" customHeight="1" thickBot="1">
      <c r="H30" s="45" t="s">
        <v>409</v>
      </c>
      <c r="I30" s="46">
        <f>'[1]1_Optimization_Engine'!C10</f>
        <v>1000</v>
      </c>
      <c r="J30" s="46">
        <f>SUM(J25:J29)</f>
        <v>4694.6255060728745</v>
      </c>
      <c r="K30" s="47">
        <f>SUM(K25:K29)</f>
        <v>91066.271584008107</v>
      </c>
      <c r="L30" s="47">
        <f>'[1]1_Optimization_Engine'!C13</f>
        <v>81190.003667273966</v>
      </c>
    </row>
  </sheetData>
  <mergeCells count="7">
    <mergeCell ref="H23:L23"/>
    <mergeCell ref="A1:Q3"/>
    <mergeCell ref="A4:Q4"/>
    <mergeCell ref="H6:J6"/>
    <mergeCell ref="H12:J13"/>
    <mergeCell ref="H15:K20"/>
    <mergeCell ref="B21:E22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784A4-2FE5-4272-BD2C-005C8CDD1933}">
  <sheetPr codeName="Sheet2">
    <tabColor rgb="FFF9A825"/>
  </sheetPr>
  <dimension ref="A1:N36"/>
  <sheetViews>
    <sheetView showGridLines="0" zoomScale="62" zoomScaleNormal="100" workbookViewId="0">
      <selection activeCell="G4" sqref="G4"/>
    </sheetView>
  </sheetViews>
  <sheetFormatPr defaultColWidth="8.7109375" defaultRowHeight="14.45"/>
  <cols>
    <col min="1" max="1" width="16" style="19" customWidth="1"/>
    <col min="2" max="7" width="14" style="19" customWidth="1"/>
    <col min="8" max="8" width="4" style="19" customWidth="1"/>
    <col min="9" max="9" width="8.7109375" style="19"/>
    <col min="10" max="10" width="22" style="19" customWidth="1"/>
    <col min="11" max="11" width="14" style="19" customWidth="1"/>
    <col min="12" max="12" width="30" style="19" customWidth="1"/>
    <col min="13" max="14" width="42" style="19" customWidth="1"/>
    <col min="15" max="16384" width="8.7109375" style="19"/>
  </cols>
  <sheetData>
    <row r="1" spans="1:14" ht="27.75" customHeight="1">
      <c r="A1" s="227" t="s">
        <v>410</v>
      </c>
      <c r="B1" s="227"/>
      <c r="C1" s="227"/>
      <c r="D1" s="227"/>
      <c r="E1" s="227"/>
      <c r="F1" s="227"/>
      <c r="G1" s="227"/>
      <c r="H1" s="227"/>
      <c r="J1" s="23" t="s">
        <v>199</v>
      </c>
      <c r="K1" s="23" t="s">
        <v>200</v>
      </c>
      <c r="L1" s="23" t="s">
        <v>411</v>
      </c>
      <c r="M1" s="23" t="s">
        <v>145</v>
      </c>
      <c r="N1" s="23" t="s">
        <v>202</v>
      </c>
    </row>
    <row r="2" spans="1:14" ht="39.75" customHeight="1" thickBot="1">
      <c r="A2" s="48" t="s">
        <v>14</v>
      </c>
      <c r="B2" s="48" t="s">
        <v>47</v>
      </c>
      <c r="C2" s="48" t="s">
        <v>48</v>
      </c>
      <c r="D2" s="48" t="s">
        <v>49</v>
      </c>
      <c r="E2" s="48" t="s">
        <v>50</v>
      </c>
      <c r="F2" s="48" t="s">
        <v>51</v>
      </c>
      <c r="G2" s="48" t="s">
        <v>53</v>
      </c>
      <c r="J2" s="24" t="s">
        <v>412</v>
      </c>
      <c r="K2" s="25" t="s">
        <v>413</v>
      </c>
      <c r="L2" s="24" t="s">
        <v>414</v>
      </c>
      <c r="M2" s="24" t="s">
        <v>206</v>
      </c>
      <c r="N2" s="26" t="s">
        <v>415</v>
      </c>
    </row>
    <row r="3" spans="1:14" ht="39.75" customHeight="1" thickBot="1">
      <c r="A3" s="39" t="s">
        <v>20</v>
      </c>
      <c r="B3" s="49">
        <v>432.5236167341431</v>
      </c>
      <c r="C3" s="50">
        <f>B3*'[1]2_Crop_Parameters'!$G$7</f>
        <v>4273.3333333333339</v>
      </c>
      <c r="D3" s="50">
        <f>C3*(1-$C$15)</f>
        <v>3205.0000000000005</v>
      </c>
      <c r="E3" s="51">
        <f>D3*'[1]2_Crop_Parameters'!$L$7</f>
        <v>70766.400000000009</v>
      </c>
      <c r="F3" s="51">
        <f>C3*'[1]2_Crop_Parameters'!$I$7*'[1]2_Crop_Parameters'!$P$7</f>
        <v>9130.3826333333345</v>
      </c>
      <c r="G3" s="51">
        <f>E3-F3</f>
        <v>61636.017366666674</v>
      </c>
      <c r="J3" s="29" t="s">
        <v>192</v>
      </c>
      <c r="K3" s="30" t="s">
        <v>416</v>
      </c>
      <c r="L3" s="29" t="s">
        <v>417</v>
      </c>
      <c r="M3" s="29" t="s">
        <v>418</v>
      </c>
      <c r="N3" s="29" t="s">
        <v>211</v>
      </c>
    </row>
    <row r="4" spans="1:14" ht="39.75" customHeight="1" thickBot="1">
      <c r="A4" s="42" t="s">
        <v>21</v>
      </c>
      <c r="B4" s="49">
        <v>567.47638326585695</v>
      </c>
      <c r="C4" s="52">
        <f>B4*'[1]2_Crop_Parameters'!$G$8</f>
        <v>1986.1673414304994</v>
      </c>
      <c r="D4" s="52">
        <f>C4*(1-$C$15)</f>
        <v>1489.6255060728745</v>
      </c>
      <c r="E4" s="53">
        <f>D4*'[1]2_Crop_Parameters'!$L$8</f>
        <v>20299.871584008095</v>
      </c>
      <c r="F4" s="53">
        <f>C4*'[1]2_Crop_Parameters'!$I$8*'[1]2_Crop_Parameters'!$P$8</f>
        <v>745.88528340080973</v>
      </c>
      <c r="G4" s="53">
        <f>E4-F4</f>
        <v>19553.986300607285</v>
      </c>
      <c r="J4" s="24" t="s">
        <v>419</v>
      </c>
      <c r="K4" s="25" t="s">
        <v>420</v>
      </c>
      <c r="L4" s="24" t="s">
        <v>421</v>
      </c>
      <c r="M4" s="24" t="s">
        <v>215</v>
      </c>
      <c r="N4" s="24" t="s">
        <v>216</v>
      </c>
    </row>
    <row r="5" spans="1:14" ht="39.75" customHeight="1" thickBot="1">
      <c r="A5" s="39" t="s">
        <v>22</v>
      </c>
      <c r="B5" s="49">
        <v>0</v>
      </c>
      <c r="C5" s="50">
        <f>B5*'[1]2_Crop_Parameters'!$G$9</f>
        <v>0</v>
      </c>
      <c r="D5" s="50">
        <f>C5*(1-$C$15)</f>
        <v>0</v>
      </c>
      <c r="E5" s="51">
        <f>D5*'[1]2_Crop_Parameters'!$L$9</f>
        <v>0</v>
      </c>
      <c r="F5" s="51">
        <f>C5*'[1]2_Crop_Parameters'!$I$9*'[1]2_Crop_Parameters'!$P$9</f>
        <v>0</v>
      </c>
      <c r="G5" s="51">
        <f>E5-F5</f>
        <v>0</v>
      </c>
      <c r="J5" s="29" t="s">
        <v>406</v>
      </c>
      <c r="K5" s="30" t="s">
        <v>422</v>
      </c>
      <c r="L5" s="29" t="s">
        <v>423</v>
      </c>
      <c r="M5" s="29" t="s">
        <v>424</v>
      </c>
      <c r="N5" s="31" t="s">
        <v>425</v>
      </c>
    </row>
    <row r="6" spans="1:14" ht="39.75" customHeight="1" thickBot="1">
      <c r="A6" s="42" t="s">
        <v>23</v>
      </c>
      <c r="B6" s="49">
        <v>0</v>
      </c>
      <c r="C6" s="52">
        <f>B6*'[1]2_Crop_Parameters'!$G$10</f>
        <v>0</v>
      </c>
      <c r="D6" s="52">
        <f>C6*(1-$C$15)</f>
        <v>0</v>
      </c>
      <c r="E6" s="53">
        <f>D6*'[1]2_Crop_Parameters'!$L$10</f>
        <v>0</v>
      </c>
      <c r="F6" s="53">
        <f>C6*'[1]2_Crop_Parameters'!$I$10*'[1]2_Crop_Parameters'!$P$10</f>
        <v>0</v>
      </c>
      <c r="G6" s="53">
        <f>E6-F6</f>
        <v>0</v>
      </c>
      <c r="J6" s="24" t="s">
        <v>217</v>
      </c>
      <c r="K6" s="25" t="s">
        <v>426</v>
      </c>
      <c r="L6" s="24" t="s">
        <v>427</v>
      </c>
      <c r="M6" s="24" t="s">
        <v>428</v>
      </c>
      <c r="N6" s="24" t="s">
        <v>216</v>
      </c>
    </row>
    <row r="7" spans="1:14" ht="39.75" customHeight="1" thickBot="1">
      <c r="A7" s="39" t="s">
        <v>24</v>
      </c>
      <c r="B7" s="49">
        <v>0</v>
      </c>
      <c r="C7" s="50">
        <f>B7*'[1]2_Crop_Parameters'!$G$11</f>
        <v>0</v>
      </c>
      <c r="D7" s="50">
        <f>C7*(1-$C$15)</f>
        <v>0</v>
      </c>
      <c r="E7" s="51">
        <f>D7*'[1]2_Crop_Parameters'!$L$11</f>
        <v>0</v>
      </c>
      <c r="F7" s="51">
        <f>C7*'[1]2_Crop_Parameters'!$I$11*'[1]2_Crop_Parameters'!$P$11</f>
        <v>0</v>
      </c>
      <c r="G7" s="51">
        <f>E7-F7</f>
        <v>0</v>
      </c>
      <c r="J7" s="29" t="s">
        <v>429</v>
      </c>
      <c r="K7" s="30" t="s">
        <v>430</v>
      </c>
      <c r="L7" s="29" t="s">
        <v>431</v>
      </c>
      <c r="M7" s="29" t="s">
        <v>432</v>
      </c>
      <c r="N7" s="29" t="s">
        <v>216</v>
      </c>
    </row>
    <row r="8" spans="1:14" ht="39.75" customHeight="1">
      <c r="J8" s="24" t="s">
        <v>408</v>
      </c>
      <c r="K8" s="25" t="s">
        <v>433</v>
      </c>
      <c r="L8" s="24" t="s">
        <v>434</v>
      </c>
      <c r="M8" s="24" t="s">
        <v>435</v>
      </c>
      <c r="N8" s="24" t="s">
        <v>216</v>
      </c>
    </row>
    <row r="9" spans="1:14" ht="39.75" customHeight="1" thickBot="1">
      <c r="A9" s="228" t="s">
        <v>436</v>
      </c>
      <c r="B9" s="228"/>
      <c r="C9" s="228"/>
      <c r="D9" s="228"/>
      <c r="E9" s="228"/>
      <c r="F9" s="228"/>
      <c r="G9" s="228"/>
      <c r="H9" s="228"/>
      <c r="J9" s="29" t="s">
        <v>437</v>
      </c>
      <c r="K9" s="30" t="s">
        <v>233</v>
      </c>
      <c r="L9" s="29" t="s">
        <v>438</v>
      </c>
      <c r="M9" s="29" t="s">
        <v>439</v>
      </c>
      <c r="N9" s="29" t="s">
        <v>216</v>
      </c>
    </row>
    <row r="10" spans="1:14" ht="39.75" customHeight="1" thickBot="1">
      <c r="A10" s="229" t="s">
        <v>71</v>
      </c>
      <c r="B10" s="229"/>
      <c r="C10" s="54">
        <f>SUM($B$3:$B$7)</f>
        <v>1000</v>
      </c>
      <c r="J10" s="24" t="s">
        <v>28</v>
      </c>
      <c r="K10" s="25" t="s">
        <v>237</v>
      </c>
      <c r="L10" s="24" t="s">
        <v>440</v>
      </c>
      <c r="M10" s="24" t="s">
        <v>441</v>
      </c>
      <c r="N10" s="24" t="s">
        <v>216</v>
      </c>
    </row>
    <row r="11" spans="1:14" ht="39.75" customHeight="1" thickBot="1">
      <c r="A11" s="229" t="s">
        <v>28</v>
      </c>
      <c r="B11" s="229"/>
      <c r="C11" s="54">
        <f>SUM(C3:C7)</f>
        <v>6259.5006747638336</v>
      </c>
      <c r="J11" s="29" t="s">
        <v>236</v>
      </c>
      <c r="K11" s="30" t="s">
        <v>241</v>
      </c>
      <c r="L11" s="29" t="s">
        <v>442</v>
      </c>
      <c r="M11" s="29" t="s">
        <v>443</v>
      </c>
      <c r="N11" s="31" t="s">
        <v>415</v>
      </c>
    </row>
    <row r="12" spans="1:14" ht="39.75" customHeight="1" thickBot="1">
      <c r="A12" s="229" t="s">
        <v>34</v>
      </c>
      <c r="B12" s="229"/>
      <c r="C12" s="54">
        <f>0.3*C11</f>
        <v>1877.8502024291499</v>
      </c>
      <c r="J12" s="24" t="s">
        <v>444</v>
      </c>
      <c r="K12" s="25" t="s">
        <v>247</v>
      </c>
      <c r="L12" s="24" t="s">
        <v>445</v>
      </c>
      <c r="M12" s="24" t="s">
        <v>446</v>
      </c>
      <c r="N12" s="24" t="s">
        <v>244</v>
      </c>
    </row>
    <row r="13" spans="1:14" ht="39.75" customHeight="1" thickBot="1">
      <c r="A13" s="229" t="s">
        <v>447</v>
      </c>
      <c r="B13" s="229"/>
      <c r="C13" s="55">
        <f>SUM($G$3:$G$7)</f>
        <v>81190.003667273966</v>
      </c>
      <c r="J13" s="29" t="s">
        <v>448</v>
      </c>
      <c r="K13" s="30" t="s">
        <v>272</v>
      </c>
      <c r="L13" s="29" t="s">
        <v>449</v>
      </c>
      <c r="M13" s="29" t="s">
        <v>450</v>
      </c>
      <c r="N13" s="29" t="s">
        <v>250</v>
      </c>
    </row>
    <row r="14" spans="1:14" ht="39.75" customHeight="1" thickBot="1">
      <c r="A14" s="229" t="s">
        <v>73</v>
      </c>
      <c r="B14" s="229"/>
      <c r="C14" s="54">
        <f>(D3+D4)-C12</f>
        <v>2816.7753036437243</v>
      </c>
      <c r="J14" s="24" t="s">
        <v>451</v>
      </c>
      <c r="K14" s="25" t="s">
        <v>452</v>
      </c>
      <c r="L14" s="24" t="s">
        <v>453</v>
      </c>
      <c r="M14" s="24" t="s">
        <v>454</v>
      </c>
      <c r="N14" s="26" t="s">
        <v>425</v>
      </c>
    </row>
    <row r="15" spans="1:14" ht="39.75" customHeight="1" thickBot="1">
      <c r="A15" s="229" t="s">
        <v>72</v>
      </c>
      <c r="B15" s="229"/>
      <c r="C15" s="56">
        <v>0.25</v>
      </c>
      <c r="J15" s="29" t="s">
        <v>252</v>
      </c>
      <c r="K15" s="30" t="s">
        <v>455</v>
      </c>
      <c r="L15" s="29" t="s">
        <v>456</v>
      </c>
      <c r="M15" s="29" t="s">
        <v>457</v>
      </c>
      <c r="N15" s="31" t="s">
        <v>415</v>
      </c>
    </row>
    <row r="16" spans="1:14" ht="39.75" customHeight="1">
      <c r="J16" s="24" t="s">
        <v>458</v>
      </c>
      <c r="K16" s="25" t="s">
        <v>459</v>
      </c>
      <c r="L16" s="24" t="s">
        <v>460</v>
      </c>
      <c r="M16" s="24" t="s">
        <v>461</v>
      </c>
      <c r="N16" s="26" t="s">
        <v>462</v>
      </c>
    </row>
    <row r="17" spans="1:14" ht="39.75" customHeight="1">
      <c r="A17" s="228" t="s">
        <v>463</v>
      </c>
      <c r="B17" s="228"/>
      <c r="C17" s="228"/>
      <c r="D17" s="228"/>
      <c r="E17" s="228"/>
      <c r="F17" s="228"/>
      <c r="G17" s="228"/>
      <c r="H17" s="228"/>
      <c r="J17" s="29" t="s">
        <v>464</v>
      </c>
      <c r="K17" s="30" t="s">
        <v>465</v>
      </c>
      <c r="L17" s="29" t="s">
        <v>466</v>
      </c>
      <c r="M17" s="29" t="s">
        <v>467</v>
      </c>
      <c r="N17" s="29" t="s">
        <v>468</v>
      </c>
    </row>
    <row r="18" spans="1:14" ht="39.75" customHeight="1">
      <c r="A18" s="38" t="s">
        <v>14</v>
      </c>
      <c r="B18" s="38" t="s">
        <v>469</v>
      </c>
      <c r="C18" s="38" t="s">
        <v>470</v>
      </c>
      <c r="D18" s="38" t="s">
        <v>49</v>
      </c>
      <c r="E18" s="38" t="s">
        <v>471</v>
      </c>
      <c r="F18" s="38" t="s">
        <v>472</v>
      </c>
      <c r="G18" s="38"/>
      <c r="H18" s="38"/>
      <c r="J18" s="24" t="s">
        <v>473</v>
      </c>
      <c r="K18" s="25" t="s">
        <v>474</v>
      </c>
      <c r="L18" s="24" t="s">
        <v>475</v>
      </c>
      <c r="M18" s="24" t="s">
        <v>476</v>
      </c>
      <c r="N18" s="24" t="s">
        <v>477</v>
      </c>
    </row>
    <row r="19" spans="1:14" ht="21.75" customHeight="1">
      <c r="A19" s="39" t="s">
        <v>20</v>
      </c>
      <c r="B19" s="57">
        <f>'[1]2_Crop_Parameters'!$M$7</f>
        <v>3200</v>
      </c>
      <c r="C19" s="58">
        <f>'[1]2_Crop_Parameters'!$N$7</f>
        <v>3205</v>
      </c>
      <c r="D19" s="50">
        <f>D3</f>
        <v>3205.0000000000005</v>
      </c>
      <c r="E19" s="50">
        <f>D19-B19</f>
        <v>5.0000000000004547</v>
      </c>
      <c r="F19" s="50">
        <f>C19-D19</f>
        <v>0</v>
      </c>
    </row>
    <row r="20" spans="1:14" ht="21.75" customHeight="1">
      <c r="A20" s="42" t="s">
        <v>21</v>
      </c>
      <c r="B20" s="59">
        <f>'[1]2_Crop_Parameters'!$M$8</f>
        <v>500</v>
      </c>
      <c r="C20" s="60">
        <f>'[1]2_Crop_Parameters'!$N$8</f>
        <v>999999</v>
      </c>
      <c r="D20" s="52">
        <f>D4</f>
        <v>1489.6255060728745</v>
      </c>
      <c r="E20" s="52">
        <f>D20-B20</f>
        <v>989.62550607287449</v>
      </c>
      <c r="F20" s="52">
        <f>C20-D20</f>
        <v>998509.37449392711</v>
      </c>
    </row>
    <row r="21" spans="1:14" ht="21.75" customHeight="1">
      <c r="A21" s="39" t="s">
        <v>22</v>
      </c>
      <c r="B21" s="57">
        <f>'[1]2_Crop_Parameters'!$M$9</f>
        <v>0</v>
      </c>
      <c r="C21" s="58">
        <f>'[1]2_Crop_Parameters'!$N$9</f>
        <v>1000</v>
      </c>
      <c r="D21" s="50">
        <f>D5</f>
        <v>0</v>
      </c>
      <c r="E21" s="50">
        <f>D21-B21</f>
        <v>0</v>
      </c>
      <c r="F21" s="50">
        <f>C21-D21</f>
        <v>1000</v>
      </c>
    </row>
    <row r="22" spans="1:14" ht="21.75" customHeight="1">
      <c r="A22" s="42" t="s">
        <v>23</v>
      </c>
      <c r="B22" s="59">
        <f>'[1]2_Crop_Parameters'!$M$10</f>
        <v>0</v>
      </c>
      <c r="C22" s="60">
        <f>'[1]2_Crop_Parameters'!$N$10</f>
        <v>500</v>
      </c>
      <c r="D22" s="52">
        <f>D6</f>
        <v>0</v>
      </c>
      <c r="E22" s="52">
        <f>D22-B22</f>
        <v>0</v>
      </c>
      <c r="F22" s="52">
        <f>C22-D22</f>
        <v>500</v>
      </c>
    </row>
    <row r="23" spans="1:14" ht="21.75" customHeight="1">
      <c r="A23" s="39" t="s">
        <v>24</v>
      </c>
      <c r="B23" s="57">
        <f>'[1]2_Crop_Parameters'!$M$11</f>
        <v>0</v>
      </c>
      <c r="C23" s="58">
        <f>'[1]2_Crop_Parameters'!$N$11</f>
        <v>500</v>
      </c>
      <c r="D23" s="50">
        <f>D7</f>
        <v>0</v>
      </c>
      <c r="E23" s="50">
        <f>D23-B23</f>
        <v>0</v>
      </c>
      <c r="F23" s="50">
        <f>C23-D23</f>
        <v>500</v>
      </c>
    </row>
    <row r="25" spans="1:14" ht="21.75" customHeight="1" thickBot="1">
      <c r="A25" s="61" t="s">
        <v>478</v>
      </c>
      <c r="C25" s="62">
        <f>'[1]0_Model_Dashboard'!I11</f>
        <v>1000</v>
      </c>
    </row>
    <row r="26" spans="1:14" ht="7.5" customHeight="1"/>
    <row r="27" spans="1:14" ht="19.5" customHeight="1">
      <c r="A27" s="230" t="s">
        <v>479</v>
      </c>
      <c r="B27" s="230"/>
      <c r="C27" s="230"/>
      <c r="D27" s="230"/>
      <c r="E27" s="230"/>
      <c r="F27" s="230"/>
      <c r="G27" s="230"/>
      <c r="H27" s="230"/>
    </row>
    <row r="28" spans="1:14" ht="21.75" customHeight="1">
      <c r="A28" s="61" t="s">
        <v>480</v>
      </c>
      <c r="C28" s="231" t="s">
        <v>481</v>
      </c>
      <c r="D28" s="231"/>
      <c r="E28" s="231"/>
      <c r="F28" s="231"/>
      <c r="G28" s="231"/>
      <c r="H28" s="231"/>
    </row>
    <row r="29" spans="1:14" ht="7.5" customHeight="1" thickBot="1"/>
    <row r="30" spans="1:14" ht="15.75" customHeight="1" thickBot="1">
      <c r="A30" s="226" t="s">
        <v>482</v>
      </c>
      <c r="B30" s="226"/>
      <c r="C30" s="226"/>
      <c r="D30" s="226"/>
      <c r="E30" s="226"/>
      <c r="F30" s="226"/>
      <c r="G30" s="226"/>
      <c r="H30" s="226"/>
    </row>
    <row r="31" spans="1:14" ht="15.75" customHeight="1" thickBot="1">
      <c r="A31" s="226"/>
      <c r="B31" s="226"/>
      <c r="C31" s="226"/>
      <c r="D31" s="226"/>
      <c r="E31" s="226"/>
      <c r="F31" s="226"/>
      <c r="G31" s="226"/>
      <c r="H31" s="226"/>
    </row>
    <row r="32" spans="1:14" ht="15.75" customHeight="1" thickBot="1">
      <c r="A32" s="226"/>
      <c r="B32" s="226"/>
      <c r="C32" s="226"/>
      <c r="D32" s="226"/>
      <c r="E32" s="226"/>
      <c r="F32" s="226"/>
      <c r="G32" s="226"/>
      <c r="H32" s="226"/>
    </row>
    <row r="33" spans="1:8" ht="15.75" customHeight="1" thickBot="1">
      <c r="A33" s="226"/>
      <c r="B33" s="226"/>
      <c r="C33" s="226"/>
      <c r="D33" s="226"/>
      <c r="E33" s="226"/>
      <c r="F33" s="226"/>
      <c r="G33" s="226"/>
      <c r="H33" s="226"/>
    </row>
    <row r="34" spans="1:8" ht="15.75" customHeight="1" thickBot="1">
      <c r="A34" s="226"/>
      <c r="B34" s="226"/>
      <c r="C34" s="226"/>
      <c r="D34" s="226"/>
      <c r="E34" s="226"/>
      <c r="F34" s="226"/>
      <c r="G34" s="226"/>
      <c r="H34" s="226"/>
    </row>
    <row r="35" spans="1:8" ht="15.75" customHeight="1" thickBot="1">
      <c r="A35" s="226"/>
      <c r="B35" s="226"/>
      <c r="C35" s="226"/>
      <c r="D35" s="226"/>
      <c r="E35" s="226"/>
      <c r="F35" s="226"/>
      <c r="G35" s="226"/>
      <c r="H35" s="226"/>
    </row>
    <row r="36" spans="1:8" ht="15.75" customHeight="1">
      <c r="A36" s="226"/>
      <c r="B36" s="226"/>
      <c r="C36" s="226"/>
      <c r="D36" s="226"/>
      <c r="E36" s="226"/>
      <c r="F36" s="226"/>
      <c r="G36" s="226"/>
      <c r="H36" s="226"/>
    </row>
  </sheetData>
  <mergeCells count="12">
    <mergeCell ref="A30:H36"/>
    <mergeCell ref="A1:H1"/>
    <mergeCell ref="A9:H9"/>
    <mergeCell ref="A10:B10"/>
    <mergeCell ref="A11:B11"/>
    <mergeCell ref="A12:B12"/>
    <mergeCell ref="A13:B13"/>
    <mergeCell ref="A14:B14"/>
    <mergeCell ref="A15:B15"/>
    <mergeCell ref="A17:H17"/>
    <mergeCell ref="A27:H27"/>
    <mergeCell ref="C28:H28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6BB9B-18EA-41C1-B434-BD55149359AD}">
  <sheetPr codeName="Sheet3">
    <tabColor rgb="FF2E7D52"/>
  </sheetPr>
  <dimension ref="F1:V24"/>
  <sheetViews>
    <sheetView showGridLines="0" topLeftCell="C1" zoomScale="53" zoomScaleNormal="100" workbookViewId="0">
      <selection activeCell="I9" sqref="I9"/>
    </sheetView>
  </sheetViews>
  <sheetFormatPr defaultColWidth="8.7109375" defaultRowHeight="14.45"/>
  <cols>
    <col min="1" max="5" width="8.7109375" style="19"/>
    <col min="6" max="6" width="21.5703125" style="19" customWidth="1"/>
    <col min="7" max="7" width="14" style="19" customWidth="1"/>
    <col min="8" max="8" width="13" style="19" customWidth="1"/>
    <col min="9" max="11" width="14" style="19" customWidth="1"/>
    <col min="12" max="12" width="15" style="19" customWidth="1"/>
    <col min="13" max="14" width="13" style="19" customWidth="1"/>
    <col min="15" max="15" width="12" style="19" customWidth="1"/>
    <col min="16" max="16" width="15" style="19" customWidth="1"/>
    <col min="17" max="17" width="8.7109375" style="19"/>
    <col min="18" max="18" width="22" style="19" customWidth="1"/>
    <col min="19" max="19" width="14" style="19" customWidth="1"/>
    <col min="20" max="20" width="28" style="19" customWidth="1"/>
    <col min="21" max="22" width="40" style="19" customWidth="1"/>
    <col min="23" max="16384" width="8.7109375" style="19"/>
  </cols>
  <sheetData>
    <row r="1" spans="6:22" ht="27.75" customHeight="1">
      <c r="F1" s="232" t="s">
        <v>483</v>
      </c>
      <c r="G1" s="232"/>
      <c r="H1" s="232"/>
      <c r="I1" s="232"/>
      <c r="J1" s="232"/>
      <c r="K1" s="232"/>
      <c r="L1" s="232"/>
      <c r="M1" s="232"/>
      <c r="N1" s="232"/>
      <c r="O1" s="232"/>
      <c r="P1" s="232"/>
      <c r="R1" s="23" t="s">
        <v>199</v>
      </c>
      <c r="S1" s="23" t="s">
        <v>277</v>
      </c>
      <c r="T1" s="23" t="s">
        <v>278</v>
      </c>
      <c r="U1" s="23" t="s">
        <v>145</v>
      </c>
      <c r="V1" s="23" t="s">
        <v>202</v>
      </c>
    </row>
    <row r="2" spans="6:22" ht="39.75" customHeight="1">
      <c r="F2" s="232"/>
      <c r="G2" s="232"/>
      <c r="H2" s="232"/>
      <c r="I2" s="232"/>
      <c r="J2" s="232"/>
      <c r="K2" s="232"/>
      <c r="L2" s="232"/>
      <c r="M2" s="232"/>
      <c r="N2" s="232"/>
      <c r="O2" s="232"/>
      <c r="P2" s="232"/>
      <c r="R2" s="24" t="s">
        <v>484</v>
      </c>
      <c r="S2" s="25" t="s">
        <v>280</v>
      </c>
      <c r="T2" s="24" t="s">
        <v>414</v>
      </c>
      <c r="U2" s="24" t="s">
        <v>206</v>
      </c>
      <c r="V2" s="26" t="s">
        <v>415</v>
      </c>
    </row>
    <row r="3" spans="6:22" ht="39.75" customHeight="1">
      <c r="F3" s="233" t="s">
        <v>485</v>
      </c>
      <c r="G3" s="233"/>
      <c r="H3" s="233"/>
      <c r="I3" s="233"/>
      <c r="J3" s="233"/>
      <c r="K3" s="233"/>
      <c r="L3" s="233"/>
      <c r="M3" s="233"/>
      <c r="N3" s="233"/>
      <c r="O3" s="233"/>
      <c r="P3" s="233"/>
      <c r="R3" s="29" t="s">
        <v>486</v>
      </c>
      <c r="S3" s="30" t="s">
        <v>281</v>
      </c>
      <c r="T3" s="29" t="s">
        <v>487</v>
      </c>
      <c r="U3" s="29" t="s">
        <v>488</v>
      </c>
      <c r="V3" s="31" t="s">
        <v>489</v>
      </c>
    </row>
    <row r="4" spans="6:22" ht="39.75" customHeight="1"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R4" s="24" t="s">
        <v>285</v>
      </c>
      <c r="S4" s="25" t="s">
        <v>286</v>
      </c>
      <c r="T4" s="24" t="s">
        <v>490</v>
      </c>
      <c r="U4" s="24" t="s">
        <v>288</v>
      </c>
      <c r="V4" s="26" t="s">
        <v>489</v>
      </c>
    </row>
    <row r="5" spans="6:22" ht="39.75" customHeight="1">
      <c r="R5" s="29" t="s">
        <v>491</v>
      </c>
      <c r="S5" s="30" t="s">
        <v>292</v>
      </c>
      <c r="T5" s="29" t="s">
        <v>492</v>
      </c>
      <c r="U5" s="29" t="s">
        <v>493</v>
      </c>
      <c r="V5" s="31" t="s">
        <v>494</v>
      </c>
    </row>
    <row r="6" spans="6:22" ht="39.75" customHeight="1">
      <c r="F6" s="48" t="s">
        <v>495</v>
      </c>
      <c r="G6" s="48" t="s">
        <v>496</v>
      </c>
      <c r="H6" s="48" t="s">
        <v>497</v>
      </c>
      <c r="I6" s="48" t="s">
        <v>498</v>
      </c>
      <c r="J6" s="48" t="s">
        <v>499</v>
      </c>
      <c r="K6" s="48" t="s">
        <v>500</v>
      </c>
      <c r="L6" s="48" t="s">
        <v>501</v>
      </c>
      <c r="M6" s="48" t="s">
        <v>502</v>
      </c>
      <c r="N6" s="48" t="s">
        <v>503</v>
      </c>
      <c r="O6" s="48" t="s">
        <v>504</v>
      </c>
      <c r="P6" s="48" t="s">
        <v>505</v>
      </c>
      <c r="R6" s="24" t="s">
        <v>9</v>
      </c>
      <c r="S6" s="25" t="s">
        <v>296</v>
      </c>
      <c r="T6" s="24" t="s">
        <v>506</v>
      </c>
      <c r="U6" s="24" t="s">
        <v>507</v>
      </c>
      <c r="V6" s="26" t="s">
        <v>508</v>
      </c>
    </row>
    <row r="7" spans="6:22" ht="39.75" customHeight="1">
      <c r="F7" s="39" t="s">
        <v>20</v>
      </c>
      <c r="G7" s="63">
        <v>9.8800000000000008</v>
      </c>
      <c r="H7" s="64">
        <v>50</v>
      </c>
      <c r="I7" s="63">
        <v>7.51</v>
      </c>
      <c r="J7" s="65">
        <v>32</v>
      </c>
      <c r="K7" s="66">
        <f>'[1]0_Model_Dashboard'!$I$10</f>
        <v>0.69</v>
      </c>
      <c r="L7" s="67">
        <f>J7*K7</f>
        <v>22.08</v>
      </c>
      <c r="M7" s="68">
        <v>3200</v>
      </c>
      <c r="N7" s="69">
        <v>3205</v>
      </c>
      <c r="O7" s="64">
        <v>16</v>
      </c>
      <c r="P7" s="70">
        <f>((MIN(O7,8)*'[1]0_Model_Dashboard'!$I$9)+(MAX(O7-8,0)*'[1]0_Model_Dashboard'!$I$8))/O7</f>
        <v>0.28449999999999998</v>
      </c>
      <c r="R7" s="29" t="s">
        <v>3</v>
      </c>
      <c r="S7" s="30" t="s">
        <v>300</v>
      </c>
      <c r="T7" s="29" t="s">
        <v>509</v>
      </c>
      <c r="U7" s="29" t="s">
        <v>510</v>
      </c>
      <c r="V7" s="31" t="s">
        <v>384</v>
      </c>
    </row>
    <row r="8" spans="6:22" ht="39.75" customHeight="1">
      <c r="F8" s="42" t="s">
        <v>21</v>
      </c>
      <c r="G8" s="71">
        <v>3.5</v>
      </c>
      <c r="H8" s="72">
        <v>45</v>
      </c>
      <c r="I8" s="71">
        <v>1.32</v>
      </c>
      <c r="J8" s="73">
        <v>19.75</v>
      </c>
      <c r="K8" s="74">
        <f>'[1]0_Model_Dashboard'!$I$10</f>
        <v>0.69</v>
      </c>
      <c r="L8" s="75">
        <f>J8*K8</f>
        <v>13.6275</v>
      </c>
      <c r="M8" s="76">
        <v>500</v>
      </c>
      <c r="N8" s="77">
        <v>999999</v>
      </c>
      <c r="O8" s="72">
        <v>16</v>
      </c>
      <c r="P8" s="78">
        <f>((MIN(O8,8)*'[1]0_Model_Dashboard'!$I$9)+(MAX(O8-8,0)*'[1]0_Model_Dashboard'!$I$8))/O8</f>
        <v>0.28449999999999998</v>
      </c>
      <c r="R8" s="24" t="s">
        <v>10</v>
      </c>
      <c r="S8" s="25" t="s">
        <v>303</v>
      </c>
      <c r="T8" s="24" t="s">
        <v>511</v>
      </c>
      <c r="U8" s="24" t="s">
        <v>512</v>
      </c>
      <c r="V8" s="24" t="s">
        <v>216</v>
      </c>
    </row>
    <row r="9" spans="6:22" ht="39.75" customHeight="1">
      <c r="F9" s="39" t="s">
        <v>22</v>
      </c>
      <c r="G9" s="63">
        <v>1.85</v>
      </c>
      <c r="H9" s="64">
        <v>30</v>
      </c>
      <c r="I9" s="63">
        <v>7.51</v>
      </c>
      <c r="J9" s="65">
        <v>46</v>
      </c>
      <c r="K9" s="66">
        <f>'[1]0_Model_Dashboard'!$I$10</f>
        <v>0.69</v>
      </c>
      <c r="L9" s="67">
        <f>J9*K9</f>
        <v>31.74</v>
      </c>
      <c r="M9" s="68"/>
      <c r="N9" s="69">
        <v>1000</v>
      </c>
      <c r="O9" s="64">
        <v>16</v>
      </c>
      <c r="P9" s="70">
        <f>((MIN(O9,8)*'[1]0_Model_Dashboard'!$I$9)+(MAX(O9-8,0)*'[1]0_Model_Dashboard'!$I$8))/O9</f>
        <v>0.28449999999999998</v>
      </c>
      <c r="R9" s="29" t="s">
        <v>513</v>
      </c>
      <c r="S9" s="30" t="s">
        <v>306</v>
      </c>
      <c r="T9" s="29" t="s">
        <v>514</v>
      </c>
      <c r="U9" s="29" t="s">
        <v>515</v>
      </c>
      <c r="V9" s="31" t="s">
        <v>415</v>
      </c>
    </row>
    <row r="10" spans="6:22" ht="39.75" customHeight="1">
      <c r="F10" s="42" t="s">
        <v>23</v>
      </c>
      <c r="G10" s="71">
        <v>3.5</v>
      </c>
      <c r="H10" s="72">
        <v>35</v>
      </c>
      <c r="I10" s="71">
        <v>1.32</v>
      </c>
      <c r="J10" s="73">
        <v>19.75</v>
      </c>
      <c r="K10" s="74">
        <f>'[1]0_Model_Dashboard'!$I$10</f>
        <v>0.69</v>
      </c>
      <c r="L10" s="75">
        <f>J10*K10</f>
        <v>13.6275</v>
      </c>
      <c r="M10" s="76"/>
      <c r="N10" s="77">
        <v>500</v>
      </c>
      <c r="O10" s="72">
        <v>10</v>
      </c>
      <c r="P10" s="78">
        <f>((MIN(O10,8)*'[1]0_Model_Dashboard'!$I$9)+(MAX(O10-8,0)*'[1]0_Model_Dashboard'!$I$8))/O10</f>
        <v>0.23410000000000003</v>
      </c>
      <c r="R10" s="24" t="s">
        <v>309</v>
      </c>
      <c r="S10" s="25" t="s">
        <v>310</v>
      </c>
      <c r="T10" s="24" t="s">
        <v>516</v>
      </c>
      <c r="U10" s="24" t="s">
        <v>312</v>
      </c>
      <c r="V10" s="26" t="s">
        <v>462</v>
      </c>
    </row>
    <row r="11" spans="6:22" ht="39.75" customHeight="1">
      <c r="F11" s="39" t="s">
        <v>24</v>
      </c>
      <c r="G11" s="63">
        <v>3.5</v>
      </c>
      <c r="H11" s="64">
        <v>35</v>
      </c>
      <c r="I11" s="63">
        <v>1.32</v>
      </c>
      <c r="J11" s="65">
        <v>19.75</v>
      </c>
      <c r="K11" s="66">
        <f>'[1]0_Model_Dashboard'!$I$10</f>
        <v>0.69</v>
      </c>
      <c r="L11" s="67">
        <f>J11*K11</f>
        <v>13.6275</v>
      </c>
      <c r="M11" s="68"/>
      <c r="N11" s="69">
        <v>500</v>
      </c>
      <c r="O11" s="64">
        <v>10</v>
      </c>
      <c r="P11" s="70">
        <f>((MIN(O11,8)*'[1]0_Model_Dashboard'!$I$9)+(MAX(O11-8,0)*'[1]0_Model_Dashboard'!$I$8))/O11</f>
        <v>0.23410000000000003</v>
      </c>
      <c r="R11" s="29" t="s">
        <v>313</v>
      </c>
      <c r="S11" s="30" t="s">
        <v>314</v>
      </c>
      <c r="T11" s="29" t="s">
        <v>517</v>
      </c>
      <c r="U11" s="29" t="s">
        <v>518</v>
      </c>
      <c r="V11" s="31" t="s">
        <v>519</v>
      </c>
    </row>
    <row r="12" spans="6:22" ht="39.75" customHeight="1">
      <c r="R12" s="24" t="s">
        <v>317</v>
      </c>
      <c r="S12" s="25" t="s">
        <v>318</v>
      </c>
      <c r="T12" s="24" t="s">
        <v>520</v>
      </c>
      <c r="U12" s="24" t="s">
        <v>521</v>
      </c>
      <c r="V12" s="26" t="s">
        <v>375</v>
      </c>
    </row>
    <row r="13" spans="6:22" ht="19.5" customHeight="1">
      <c r="F13" s="230" t="s">
        <v>522</v>
      </c>
      <c r="G13" s="230"/>
      <c r="H13" s="230"/>
      <c r="I13" s="230"/>
      <c r="J13" s="230"/>
      <c r="K13" s="230"/>
      <c r="L13" s="230"/>
      <c r="M13" s="230"/>
      <c r="N13" s="230"/>
      <c r="O13" s="230"/>
      <c r="P13" s="230"/>
    </row>
    <row r="14" spans="6:22" ht="21.75" customHeight="1">
      <c r="F14" s="23" t="s">
        <v>523</v>
      </c>
      <c r="G14" s="48" t="s">
        <v>20</v>
      </c>
      <c r="H14" s="48" t="s">
        <v>21</v>
      </c>
      <c r="I14" s="48" t="s">
        <v>22</v>
      </c>
      <c r="J14" s="48" t="s">
        <v>23</v>
      </c>
      <c r="K14" s="48" t="s">
        <v>24</v>
      </c>
    </row>
    <row r="15" spans="6:22" ht="31.5" customHeight="1">
      <c r="F15" s="79" t="s">
        <v>486</v>
      </c>
      <c r="G15" s="80">
        <f>G7</f>
        <v>9.8800000000000008</v>
      </c>
      <c r="H15" s="80">
        <f>G8</f>
        <v>3.5</v>
      </c>
      <c r="I15" s="80">
        <f>G9</f>
        <v>1.85</v>
      </c>
      <c r="J15" s="80">
        <f>G10</f>
        <v>3.5</v>
      </c>
      <c r="K15" s="80">
        <f>G11</f>
        <v>3.5</v>
      </c>
    </row>
    <row r="16" spans="6:22" ht="25.5" customHeight="1">
      <c r="F16" s="81" t="s">
        <v>7</v>
      </c>
      <c r="G16" s="82">
        <f>H7</f>
        <v>50</v>
      </c>
      <c r="H16" s="82">
        <f>H8</f>
        <v>45</v>
      </c>
      <c r="I16" s="82">
        <f>H9</f>
        <v>30</v>
      </c>
      <c r="J16" s="82">
        <f>H10</f>
        <v>35</v>
      </c>
      <c r="K16" s="82">
        <f>H11</f>
        <v>35</v>
      </c>
    </row>
    <row r="17" spans="6:11" ht="30" customHeight="1">
      <c r="F17" s="79" t="s">
        <v>8</v>
      </c>
      <c r="G17" s="80">
        <f>I7</f>
        <v>7.51</v>
      </c>
      <c r="H17" s="80">
        <f>I8</f>
        <v>1.32</v>
      </c>
      <c r="I17" s="80">
        <f>I9</f>
        <v>7.51</v>
      </c>
      <c r="J17" s="80">
        <f>I10</f>
        <v>1.32</v>
      </c>
      <c r="K17" s="80">
        <f>I11</f>
        <v>1.32</v>
      </c>
    </row>
    <row r="18" spans="6:11" ht="18" customHeight="1">
      <c r="F18" s="81" t="s">
        <v>9</v>
      </c>
      <c r="G18" s="83">
        <f>J7</f>
        <v>32</v>
      </c>
      <c r="H18" s="83">
        <f>J8</f>
        <v>19.75</v>
      </c>
      <c r="I18" s="83">
        <f>J9</f>
        <v>46</v>
      </c>
      <c r="J18" s="83">
        <f>J10</f>
        <v>19.75</v>
      </c>
      <c r="K18" s="83">
        <f>J11</f>
        <v>19.75</v>
      </c>
    </row>
    <row r="19" spans="6:11" ht="27" customHeight="1">
      <c r="F19" s="79" t="s">
        <v>3</v>
      </c>
      <c r="G19" s="80">
        <f>K7</f>
        <v>0.69</v>
      </c>
      <c r="H19" s="80">
        <f>K8</f>
        <v>0.69</v>
      </c>
      <c r="I19" s="80">
        <f>K9</f>
        <v>0.69</v>
      </c>
      <c r="J19" s="80">
        <f>K10</f>
        <v>0.69</v>
      </c>
      <c r="K19" s="80">
        <f>K11</f>
        <v>0.69</v>
      </c>
    </row>
    <row r="20" spans="6:11" ht="25.5" customHeight="1">
      <c r="F20" s="81" t="s">
        <v>10</v>
      </c>
      <c r="G20" s="83">
        <f>L7</f>
        <v>22.08</v>
      </c>
      <c r="H20" s="83">
        <f>L8</f>
        <v>13.6275</v>
      </c>
      <c r="I20" s="83">
        <f>L9</f>
        <v>31.74</v>
      </c>
      <c r="J20" s="83">
        <f>L10</f>
        <v>13.6275</v>
      </c>
      <c r="K20" s="83">
        <f>L11</f>
        <v>13.6275</v>
      </c>
    </row>
    <row r="21" spans="6:11" ht="28.5" customHeight="1">
      <c r="F21" s="79" t="s">
        <v>289</v>
      </c>
      <c r="G21" s="84">
        <f>M7</f>
        <v>3200</v>
      </c>
      <c r="H21" s="84">
        <f>M8</f>
        <v>500</v>
      </c>
      <c r="I21" s="84">
        <f>M9</f>
        <v>0</v>
      </c>
      <c r="J21" s="84">
        <f>M10</f>
        <v>0</v>
      </c>
      <c r="K21" s="84">
        <f>M11</f>
        <v>0</v>
      </c>
    </row>
    <row r="22" spans="6:11" ht="18" customHeight="1">
      <c r="F22" s="81" t="s">
        <v>290</v>
      </c>
      <c r="G22" s="85">
        <f>N7</f>
        <v>3205</v>
      </c>
      <c r="H22" s="85">
        <f>N8</f>
        <v>999999</v>
      </c>
      <c r="I22" s="85">
        <f>N9</f>
        <v>1000</v>
      </c>
      <c r="J22" s="85">
        <f>N10</f>
        <v>500</v>
      </c>
      <c r="K22" s="85">
        <f>N11</f>
        <v>500</v>
      </c>
    </row>
    <row r="23" spans="6:11" ht="18" customHeight="1">
      <c r="F23" s="79" t="s">
        <v>524</v>
      </c>
      <c r="G23" s="86">
        <f>O7</f>
        <v>16</v>
      </c>
      <c r="H23" s="86">
        <f>O8</f>
        <v>16</v>
      </c>
      <c r="I23" s="86">
        <f>O9</f>
        <v>16</v>
      </c>
      <c r="J23" s="86">
        <f>O10</f>
        <v>10</v>
      </c>
      <c r="K23" s="86">
        <f>O11</f>
        <v>10</v>
      </c>
    </row>
    <row r="24" spans="6:11" ht="27.75" customHeight="1">
      <c r="F24" s="81" t="s">
        <v>317</v>
      </c>
      <c r="G24" s="87">
        <f>P7</f>
        <v>0.28449999999999998</v>
      </c>
      <c r="H24" s="87">
        <f>P8</f>
        <v>0.28449999999999998</v>
      </c>
      <c r="I24" s="87">
        <f>P9</f>
        <v>0.28449999999999998</v>
      </c>
      <c r="J24" s="87">
        <f>P10</f>
        <v>0.23410000000000003</v>
      </c>
      <c r="K24" s="87">
        <f>P11</f>
        <v>0.23410000000000003</v>
      </c>
    </row>
  </sheetData>
  <mergeCells count="3">
    <mergeCell ref="F1:P2"/>
    <mergeCell ref="F3:P4"/>
    <mergeCell ref="F13:P13"/>
  </mergeCells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773CE-A0C7-4F5D-9D66-CF2F7A531177}">
  <sheetPr codeName="Sheet14"/>
  <dimension ref="A1:N1"/>
  <sheetViews>
    <sheetView workbookViewId="0">
      <selection sqref="A1:N1"/>
    </sheetView>
  </sheetViews>
  <sheetFormatPr defaultRowHeight="14.45"/>
  <sheetData>
    <row r="1" spans="1:14">
      <c r="A1" s="234"/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</row>
  </sheetData>
  <mergeCells count="1">
    <mergeCell ref="A1:N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Lukas Hung</dc:creator>
  <cp:keywords/>
  <dc:description/>
  <cp:lastModifiedBy/>
  <cp:revision/>
  <dcterms:created xsi:type="dcterms:W3CDTF">2026-03-12T10:54:41Z</dcterms:created>
  <dcterms:modified xsi:type="dcterms:W3CDTF">2026-05-18T16:54:56Z</dcterms:modified>
  <cp:category/>
  <cp:contentStatus/>
</cp:coreProperties>
</file>